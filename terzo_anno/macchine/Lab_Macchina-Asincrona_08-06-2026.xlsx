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uni\terzo_anno\macchine\"/>
    </mc:Choice>
  </mc:AlternateContent>
  <xr:revisionPtr revIDLastSave="0" documentId="8_{F29753EA-3312-432E-B4CF-6A7CFECF6A28}" xr6:coauthVersionLast="47" xr6:coauthVersionMax="47" xr10:uidLastSave="{00000000-0000-0000-0000-000000000000}"/>
  <bookViews>
    <workbookView xWindow="-108" yWindow="-108" windowWidth="23256" windowHeight="13176" xr2:uid="{9D23DE4A-3016-4D44-AA62-37A29D25B170}"/>
  </bookViews>
  <sheets>
    <sheet name="Asincrono" sheetId="1" r:id="rId1"/>
  </sheets>
  <definedNames>
    <definedName name="_xlnm.Print_Area" localSheetId="0">Asincrono!$B$1:$N$31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F12" i="1"/>
  <c r="L12" i="1"/>
  <c r="F13" i="1"/>
  <c r="L13" i="1"/>
  <c r="F14" i="1"/>
  <c r="L14" i="1"/>
  <c r="F15" i="1"/>
  <c r="L15" i="1"/>
  <c r="F16" i="1"/>
  <c r="L16" i="1"/>
  <c r="F17" i="1"/>
  <c r="F18" i="1"/>
  <c r="F19" i="1"/>
  <c r="F20" i="1"/>
  <c r="F21" i="1"/>
  <c r="N29" i="1"/>
</calcChain>
</file>

<file path=xl/sharedStrings.xml><?xml version="1.0" encoding="utf-8"?>
<sst xmlns="http://schemas.openxmlformats.org/spreadsheetml/2006/main" count="45" uniqueCount="31">
  <si>
    <t>(macchina calda)</t>
  </si>
  <si>
    <t>Ω</t>
  </si>
  <si>
    <t>Rs,c =</t>
  </si>
  <si>
    <t>fase T =</t>
  </si>
  <si>
    <t>fase S =</t>
  </si>
  <si>
    <t>fase R =</t>
  </si>
  <si>
    <t>Resistenza di statore</t>
  </si>
  <si>
    <t>n [g/min]</t>
  </si>
  <si>
    <t>p [N]</t>
  </si>
  <si>
    <t>b [m]</t>
  </si>
  <si>
    <r>
      <t>V</t>
    </r>
    <r>
      <rPr>
        <vertAlign val="subscript"/>
        <sz val="12"/>
        <rFont val="Arial"/>
        <family val="2"/>
      </rPr>
      <t>c</t>
    </r>
    <r>
      <rPr>
        <sz val="12"/>
        <rFont val="Arial"/>
        <family val="2"/>
      </rPr>
      <t xml:space="preserve"> [V]</t>
    </r>
  </si>
  <si>
    <r>
      <t>I</t>
    </r>
    <r>
      <rPr>
        <vertAlign val="subscript"/>
        <sz val="12"/>
        <rFont val="Arial"/>
        <family val="2"/>
      </rPr>
      <t>c</t>
    </r>
    <r>
      <rPr>
        <sz val="12"/>
        <rFont val="Arial"/>
        <family val="2"/>
      </rPr>
      <t xml:space="preserve"> [A]</t>
    </r>
  </si>
  <si>
    <r>
      <t>P</t>
    </r>
    <r>
      <rPr>
        <vertAlign val="subscript"/>
        <sz val="12"/>
        <rFont val="Arial"/>
        <family val="2"/>
      </rPr>
      <t>c</t>
    </r>
    <r>
      <rPr>
        <sz val="12"/>
        <rFont val="Arial"/>
        <family val="2"/>
      </rPr>
      <t xml:space="preserve"> [W]</t>
    </r>
  </si>
  <si>
    <t>N</t>
  </si>
  <si>
    <t>PROVA A CARICO</t>
  </si>
  <si>
    <r>
      <t>V</t>
    </r>
    <r>
      <rPr>
        <vertAlign val="subscript"/>
        <sz val="12"/>
        <rFont val="Arial"/>
        <family val="2"/>
      </rPr>
      <t>cc^2</t>
    </r>
  </si>
  <si>
    <r>
      <t>V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[V]</t>
    </r>
  </si>
  <si>
    <r>
      <t>I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[A]</t>
    </r>
  </si>
  <si>
    <r>
      <t>P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[W]</t>
    </r>
  </si>
  <si>
    <r>
      <t>V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^2</t>
    </r>
  </si>
  <si>
    <r>
      <t>V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[V]</t>
    </r>
  </si>
  <si>
    <r>
      <t>I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[A]</t>
    </r>
  </si>
  <si>
    <r>
      <t>P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[W]</t>
    </r>
  </si>
  <si>
    <t>PROVA IN CORTO CIRCUITO</t>
  </si>
  <si>
    <t>PROVA A VUOTO</t>
  </si>
  <si>
    <t>(macchina fredda)</t>
  </si>
  <si>
    <t>Rs,f =</t>
  </si>
  <si>
    <t>°C</t>
  </si>
  <si>
    <r>
      <t>t</t>
    </r>
    <r>
      <rPr>
        <vertAlign val="subscript"/>
        <sz val="12"/>
        <rFont val="Arial"/>
        <family val="2"/>
      </rPr>
      <t xml:space="preserve">a </t>
    </r>
    <r>
      <rPr>
        <sz val="12"/>
        <rFont val="Arial"/>
        <family val="2"/>
      </rPr>
      <t>=</t>
    </r>
  </si>
  <si>
    <t>Temperatura ambiente</t>
  </si>
  <si>
    <t>PROVE SUL MOTORE ASINCRONO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</si>
</sst>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9"/>
      <name val="Geneva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1" xfId="0" applyNumberFormat="1" applyFont="1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/>
    <xf numFmtId="2" fontId="1" fillId="2" borderId="1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1" xfId="0" applyNumberFormat="1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Asincrono!$D$12:$D$19</c:f>
              <c:numCache>
                <c:formatCode>0.00</c:formatCode>
                <c:ptCount val="8"/>
                <c:pt idx="0">
                  <c:v>2.2000000000000002</c:v>
                </c:pt>
                <c:pt idx="1">
                  <c:v>1.6</c:v>
                </c:pt>
                <c:pt idx="2">
                  <c:v>1.23</c:v>
                </c:pt>
                <c:pt idx="3">
                  <c:v>0.97</c:v>
                </c:pt>
                <c:pt idx="4">
                  <c:v>0.78</c:v>
                </c:pt>
                <c:pt idx="5">
                  <c:v>0.65</c:v>
                </c:pt>
                <c:pt idx="6">
                  <c:v>0.53</c:v>
                </c:pt>
                <c:pt idx="7">
                  <c:v>0.44</c:v>
                </c:pt>
              </c:numCache>
            </c:numRef>
          </c:xVal>
          <c:yVal>
            <c:numRef>
              <c:f>Asincrono!$E$12:$E$19</c:f>
              <c:numCache>
                <c:formatCode>General</c:formatCode>
                <c:ptCount val="8"/>
                <c:pt idx="0">
                  <c:v>420</c:v>
                </c:pt>
                <c:pt idx="1">
                  <c:v>380</c:v>
                </c:pt>
                <c:pt idx="2">
                  <c:v>340</c:v>
                </c:pt>
                <c:pt idx="3">
                  <c:v>300</c:v>
                </c:pt>
                <c:pt idx="4">
                  <c:v>260</c:v>
                </c:pt>
                <c:pt idx="5">
                  <c:v>220</c:v>
                </c:pt>
                <c:pt idx="6">
                  <c:v>180</c:v>
                </c:pt>
                <c:pt idx="7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C-4EF3-BF93-5EF0C607D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47648"/>
        <c:axId val="90749568"/>
      </c:scatterChart>
      <c:valAx>
        <c:axId val="907476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</a:t>
                </a:r>
                <a:r>
                  <a:rPr lang="it-IT" baseline="0"/>
                  <a:t> a vuoto meccanico [A]</a:t>
                </a:r>
                <a:endParaRPr lang="it-IT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749568"/>
        <c:crosses val="autoZero"/>
        <c:crossBetween val="midCat"/>
      </c:valAx>
      <c:valAx>
        <c:axId val="907495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a vuoto meccanico [V]</a:t>
                </a:r>
              </a:p>
            </c:rich>
          </c:tx>
          <c:layout>
            <c:manualLayout>
              <c:xMode val="edge"/>
              <c:yMode val="edge"/>
              <c:x val="3.0555555555555561E-2"/>
              <c:y val="0.1077796004666084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0747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Asincrono!$E$12:$E$19</c:f>
              <c:numCache>
                <c:formatCode>General</c:formatCode>
                <c:ptCount val="8"/>
                <c:pt idx="0">
                  <c:v>420</c:v>
                </c:pt>
                <c:pt idx="1">
                  <c:v>380</c:v>
                </c:pt>
                <c:pt idx="2">
                  <c:v>340</c:v>
                </c:pt>
                <c:pt idx="3">
                  <c:v>300</c:v>
                </c:pt>
                <c:pt idx="4">
                  <c:v>260</c:v>
                </c:pt>
                <c:pt idx="5">
                  <c:v>220</c:v>
                </c:pt>
                <c:pt idx="6">
                  <c:v>180</c:v>
                </c:pt>
                <c:pt idx="7">
                  <c:v>140</c:v>
                </c:pt>
              </c:numCache>
            </c:numRef>
          </c:xVal>
          <c:yVal>
            <c:numRef>
              <c:f>Asincrono!$C$12:$C$19</c:f>
              <c:numCache>
                <c:formatCode>General</c:formatCode>
                <c:ptCount val="8"/>
                <c:pt idx="0">
                  <c:v>240</c:v>
                </c:pt>
                <c:pt idx="1">
                  <c:v>176</c:v>
                </c:pt>
                <c:pt idx="2">
                  <c:v>137</c:v>
                </c:pt>
                <c:pt idx="3">
                  <c:v>112</c:v>
                </c:pt>
                <c:pt idx="4">
                  <c:v>95</c:v>
                </c:pt>
                <c:pt idx="5">
                  <c:v>82</c:v>
                </c:pt>
                <c:pt idx="6">
                  <c:v>73</c:v>
                </c:pt>
                <c:pt idx="7">
                  <c:v>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8D-4792-B0CE-0C5DE764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76384"/>
        <c:axId val="90578304"/>
      </c:scatterChart>
      <c:valAx>
        <c:axId val="90576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</a:t>
                </a:r>
                <a:r>
                  <a:rPr lang="it-IT" baseline="0"/>
                  <a:t> a vuoto meccanico [V]</a:t>
                </a:r>
                <a:endParaRPr lang="it-IT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578304"/>
        <c:crosses val="autoZero"/>
        <c:crossBetween val="midCat"/>
      </c:valAx>
      <c:valAx>
        <c:axId val="905783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 a vuoto [W]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76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xVal>
            <c:numRef>
              <c:f>Asincrono!$F$12:$F$19</c:f>
              <c:numCache>
                <c:formatCode>General</c:formatCode>
                <c:ptCount val="8"/>
                <c:pt idx="0">
                  <c:v>176400</c:v>
                </c:pt>
                <c:pt idx="1">
                  <c:v>144400</c:v>
                </c:pt>
                <c:pt idx="2">
                  <c:v>115600</c:v>
                </c:pt>
                <c:pt idx="3">
                  <c:v>90000</c:v>
                </c:pt>
                <c:pt idx="4">
                  <c:v>67600</c:v>
                </c:pt>
                <c:pt idx="5">
                  <c:v>48400</c:v>
                </c:pt>
                <c:pt idx="6">
                  <c:v>32400</c:v>
                </c:pt>
                <c:pt idx="7">
                  <c:v>19600</c:v>
                </c:pt>
              </c:numCache>
            </c:numRef>
          </c:xVal>
          <c:yVal>
            <c:numRef>
              <c:f>Asincrono!$C$12:$C$19</c:f>
              <c:numCache>
                <c:formatCode>General</c:formatCode>
                <c:ptCount val="8"/>
                <c:pt idx="0">
                  <c:v>240</c:v>
                </c:pt>
                <c:pt idx="1">
                  <c:v>176</c:v>
                </c:pt>
                <c:pt idx="2">
                  <c:v>137</c:v>
                </c:pt>
                <c:pt idx="3">
                  <c:v>112</c:v>
                </c:pt>
                <c:pt idx="4">
                  <c:v>95</c:v>
                </c:pt>
                <c:pt idx="5">
                  <c:v>82</c:v>
                </c:pt>
                <c:pt idx="6">
                  <c:v>73</c:v>
                </c:pt>
                <c:pt idx="7">
                  <c:v>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1-4973-ADD4-57A715D10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14400"/>
        <c:axId val="90628864"/>
      </c:scatterChart>
      <c:valAx>
        <c:axId val="906144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 algn="ctr" rtl="0">
                  <a:def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Quadrato tensione a vuoto meccanico [V^2]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628864"/>
        <c:crosses val="autoZero"/>
        <c:crossBetween val="midCat"/>
      </c:valAx>
      <c:valAx>
        <c:axId val="906288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 algn="ctr" rtl="0">
                  <a:def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Potenza a vuoto [W]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614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Asincrono!$J$12:$J$16</c:f>
              <c:numCache>
                <c:formatCode>0.00</c:formatCode>
                <c:ptCount val="5"/>
                <c:pt idx="0">
                  <c:v>2.97</c:v>
                </c:pt>
                <c:pt idx="1">
                  <c:v>2.4900000000000002</c:v>
                </c:pt>
                <c:pt idx="2">
                  <c:v>2.0299999999999998</c:v>
                </c:pt>
                <c:pt idx="3">
                  <c:v>1.51</c:v>
                </c:pt>
                <c:pt idx="4">
                  <c:v>1.03</c:v>
                </c:pt>
              </c:numCache>
            </c:numRef>
          </c:xVal>
          <c:yVal>
            <c:numRef>
              <c:f>Asincrono!$K$12:$K$16</c:f>
              <c:numCache>
                <c:formatCode>0.0</c:formatCode>
                <c:ptCount val="5"/>
                <c:pt idx="0">
                  <c:v>81</c:v>
                </c:pt>
                <c:pt idx="1">
                  <c:v>69.8</c:v>
                </c:pt>
                <c:pt idx="2">
                  <c:v>57.2</c:v>
                </c:pt>
                <c:pt idx="3">
                  <c:v>43.6</c:v>
                </c:pt>
                <c:pt idx="4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7-4A6F-B78A-C3FC8226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83744"/>
        <c:axId val="90785664"/>
      </c:scatterChart>
      <c:valAx>
        <c:axId val="90783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</a:t>
                </a:r>
                <a:r>
                  <a:rPr lang="it-IT" baseline="0"/>
                  <a:t> a rotore bloccato [A]</a:t>
                </a:r>
                <a:endParaRPr lang="it-IT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785664"/>
        <c:crosses val="autoZero"/>
        <c:crossBetween val="midCat"/>
      </c:valAx>
      <c:valAx>
        <c:axId val="907856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a rotore bloccato [V]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90783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Asincrono!$K$12:$K$16</c:f>
              <c:numCache>
                <c:formatCode>0.0</c:formatCode>
                <c:ptCount val="5"/>
                <c:pt idx="0">
                  <c:v>81</c:v>
                </c:pt>
                <c:pt idx="1">
                  <c:v>69.8</c:v>
                </c:pt>
                <c:pt idx="2">
                  <c:v>57.2</c:v>
                </c:pt>
                <c:pt idx="3">
                  <c:v>43.6</c:v>
                </c:pt>
                <c:pt idx="4">
                  <c:v>30</c:v>
                </c:pt>
              </c:numCache>
            </c:numRef>
          </c:xVal>
          <c:yVal>
            <c:numRef>
              <c:f>Asincrono!$I$12:$I$16</c:f>
              <c:numCache>
                <c:formatCode>0.0</c:formatCode>
                <c:ptCount val="5"/>
                <c:pt idx="0">
                  <c:v>313</c:v>
                </c:pt>
                <c:pt idx="1">
                  <c:v>226</c:v>
                </c:pt>
                <c:pt idx="2">
                  <c:v>149</c:v>
                </c:pt>
                <c:pt idx="3">
                  <c:v>83</c:v>
                </c:pt>
                <c:pt idx="4">
                  <c:v>37.6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9-40D8-B830-8DF764A3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01280"/>
        <c:axId val="90803200"/>
      </c:scatterChart>
      <c:valAx>
        <c:axId val="908012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a rotore bloccato [V]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803200"/>
        <c:crosses val="autoZero"/>
        <c:crossBetween val="midCat"/>
      </c:valAx>
      <c:valAx>
        <c:axId val="908032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 a rotore bloccato [W]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9080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Asincrono!$L$12:$L$16</c:f>
              <c:numCache>
                <c:formatCode>General</c:formatCode>
                <c:ptCount val="5"/>
                <c:pt idx="0">
                  <c:v>6561</c:v>
                </c:pt>
                <c:pt idx="1">
                  <c:v>4872.04</c:v>
                </c:pt>
                <c:pt idx="2">
                  <c:v>3271.84</c:v>
                </c:pt>
                <c:pt idx="3">
                  <c:v>1900.96</c:v>
                </c:pt>
                <c:pt idx="4">
                  <c:v>900</c:v>
                </c:pt>
              </c:numCache>
            </c:numRef>
          </c:xVal>
          <c:yVal>
            <c:numRef>
              <c:f>Asincrono!$I$12:$I$16</c:f>
              <c:numCache>
                <c:formatCode>0.0</c:formatCode>
                <c:ptCount val="5"/>
                <c:pt idx="0">
                  <c:v>313</c:v>
                </c:pt>
                <c:pt idx="1">
                  <c:v>226</c:v>
                </c:pt>
                <c:pt idx="2">
                  <c:v>149</c:v>
                </c:pt>
                <c:pt idx="3">
                  <c:v>83</c:v>
                </c:pt>
                <c:pt idx="4">
                  <c:v>37.6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C-4485-9433-267678DDA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27008"/>
        <c:axId val="90837376"/>
      </c:scatterChart>
      <c:valAx>
        <c:axId val="908270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Quadrato</a:t>
                </a:r>
                <a:r>
                  <a:rPr lang="it-IT" baseline="0"/>
                  <a:t> t</a:t>
                </a:r>
                <a:r>
                  <a:rPr lang="it-IT"/>
                  <a:t>ensione a rotore bloccato [V^2]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837376"/>
        <c:crosses val="autoZero"/>
        <c:crossBetween val="midCat"/>
      </c:valAx>
      <c:valAx>
        <c:axId val="908373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 a rotore bloccato [W]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90827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Asincrono!$J$22:$J$27</c:f>
              <c:numCache>
                <c:formatCode>0.00</c:formatCode>
                <c:ptCount val="6"/>
                <c:pt idx="0">
                  <c:v>1.66</c:v>
                </c:pt>
                <c:pt idx="1">
                  <c:v>1.7</c:v>
                </c:pt>
                <c:pt idx="2">
                  <c:v>1.75</c:v>
                </c:pt>
                <c:pt idx="3">
                  <c:v>1.84</c:v>
                </c:pt>
                <c:pt idx="4">
                  <c:v>2</c:v>
                </c:pt>
                <c:pt idx="5">
                  <c:v>2.2000000000000002</c:v>
                </c:pt>
              </c:numCache>
            </c:numRef>
          </c:xVal>
          <c:yVal>
            <c:numRef>
              <c:f>Asincrono!$I$22:$I$27</c:f>
              <c:numCache>
                <c:formatCode>General</c:formatCode>
                <c:ptCount val="6"/>
                <c:pt idx="0">
                  <c:v>230</c:v>
                </c:pt>
                <c:pt idx="1">
                  <c:v>413</c:v>
                </c:pt>
                <c:pt idx="2">
                  <c:v>481</c:v>
                </c:pt>
                <c:pt idx="3">
                  <c:v>647</c:v>
                </c:pt>
                <c:pt idx="4">
                  <c:v>820</c:v>
                </c:pt>
                <c:pt idx="5">
                  <c:v>1013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EB-493C-895B-E1F0F12E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60928"/>
        <c:axId val="90883584"/>
      </c:scatterChart>
      <c:valAx>
        <c:axId val="90860928"/>
        <c:scaling>
          <c:orientation val="minMax"/>
          <c:min val="1.5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 algn="ctr" rtl="0">
                  <a:def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Corrente a carico [A]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90883584"/>
        <c:crosses val="autoZero"/>
        <c:crossBetween val="midCat"/>
      </c:valAx>
      <c:valAx>
        <c:axId val="90883584"/>
        <c:scaling>
          <c:orientation val="minMax"/>
          <c:min val="2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 a carico [W]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860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21</xdr:col>
      <xdr:colOff>228600</xdr:colOff>
      <xdr:row>13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338A5D9-5B98-433E-9BFA-8B2FC060F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0</xdr:row>
      <xdr:rowOff>0</xdr:rowOff>
    </xdr:from>
    <xdr:to>
      <xdr:col>27</xdr:col>
      <xdr:colOff>457200</xdr:colOff>
      <xdr:row>13</xdr:row>
      <xdr:rowOff>104775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43BE50-DAAB-4CA0-A2DD-8FE0A866C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457200</xdr:colOff>
      <xdr:row>0</xdr:row>
      <xdr:rowOff>0</xdr:rowOff>
    </xdr:from>
    <xdr:to>
      <xdr:col>33</xdr:col>
      <xdr:colOff>685800</xdr:colOff>
      <xdr:row>13</xdr:row>
      <xdr:rowOff>104775</xdr:rowOff>
    </xdr:to>
    <xdr:graphicFrame macro="">
      <xdr:nvGraphicFramePr>
        <xdr:cNvPr id="4" name="Grafico 5">
          <a:extLst>
            <a:ext uri="{FF2B5EF4-FFF2-40B4-BE49-F238E27FC236}">
              <a16:creationId xmlns:a16="http://schemas.microsoft.com/office/drawing/2014/main" id="{1A93DEEC-29EB-45A6-951D-AA785CB25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13</xdr:row>
      <xdr:rowOff>104775</xdr:rowOff>
    </xdr:from>
    <xdr:to>
      <xdr:col>21</xdr:col>
      <xdr:colOff>228600</xdr:colOff>
      <xdr:row>27</xdr:row>
      <xdr:rowOff>114300</xdr:rowOff>
    </xdr:to>
    <xdr:graphicFrame macro="">
      <xdr:nvGraphicFramePr>
        <xdr:cNvPr id="5" name="Grafico 6">
          <a:extLst>
            <a:ext uri="{FF2B5EF4-FFF2-40B4-BE49-F238E27FC236}">
              <a16:creationId xmlns:a16="http://schemas.microsoft.com/office/drawing/2014/main" id="{0BE04052-7A33-458B-9893-FBD0635E2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228600</xdr:colOff>
      <xdr:row>13</xdr:row>
      <xdr:rowOff>104775</xdr:rowOff>
    </xdr:from>
    <xdr:to>
      <xdr:col>27</xdr:col>
      <xdr:colOff>457200</xdr:colOff>
      <xdr:row>27</xdr:row>
      <xdr:rowOff>114300</xdr:rowOff>
    </xdr:to>
    <xdr:graphicFrame macro="">
      <xdr:nvGraphicFramePr>
        <xdr:cNvPr id="6" name="Grafico 7">
          <a:extLst>
            <a:ext uri="{FF2B5EF4-FFF2-40B4-BE49-F238E27FC236}">
              <a16:creationId xmlns:a16="http://schemas.microsoft.com/office/drawing/2014/main" id="{34FCB5CE-ECF4-42F3-9108-4F8B95F41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457200</xdr:colOff>
      <xdr:row>13</xdr:row>
      <xdr:rowOff>104775</xdr:rowOff>
    </xdr:from>
    <xdr:to>
      <xdr:col>33</xdr:col>
      <xdr:colOff>685800</xdr:colOff>
      <xdr:row>27</xdr:row>
      <xdr:rowOff>114300</xdr:rowOff>
    </xdr:to>
    <xdr:graphicFrame macro="">
      <xdr:nvGraphicFramePr>
        <xdr:cNvPr id="7" name="Grafico 8">
          <a:extLst>
            <a:ext uri="{FF2B5EF4-FFF2-40B4-BE49-F238E27FC236}">
              <a16:creationId xmlns:a16="http://schemas.microsoft.com/office/drawing/2014/main" id="{65F708DF-F51D-4AEB-8A18-B87588320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27</xdr:row>
      <xdr:rowOff>114300</xdr:rowOff>
    </xdr:from>
    <xdr:to>
      <xdr:col>21</xdr:col>
      <xdr:colOff>228600</xdr:colOff>
      <xdr:row>42</xdr:row>
      <xdr:rowOff>0</xdr:rowOff>
    </xdr:to>
    <xdr:graphicFrame macro="">
      <xdr:nvGraphicFramePr>
        <xdr:cNvPr id="8" name="Grafico 12">
          <a:extLst>
            <a:ext uri="{FF2B5EF4-FFF2-40B4-BE49-F238E27FC236}">
              <a16:creationId xmlns:a16="http://schemas.microsoft.com/office/drawing/2014/main" id="{7CAD36B2-F923-45CA-9F22-8349DD517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9A87-5F92-4905-B219-51507D37BF8D}">
  <dimension ref="A1:O30"/>
  <sheetViews>
    <sheetView tabSelected="1" topLeftCell="B1" zoomScale="55" zoomScaleNormal="55" zoomScaleSheetLayoutView="100" workbookViewId="0">
      <selection activeCell="G33" sqref="G33"/>
    </sheetView>
  </sheetViews>
  <sheetFormatPr defaultColWidth="10.875" defaultRowHeight="15" x14ac:dyDescent="0.25"/>
  <cols>
    <col min="1" max="1" width="17.25" style="1" hidden="1" customWidth="1"/>
    <col min="2" max="2" width="9.875" style="1" customWidth="1"/>
    <col min="3" max="3" width="11.375" style="1" customWidth="1"/>
    <col min="4" max="5" width="10.875" style="1" customWidth="1"/>
    <col min="6" max="6" width="10.75" style="1" customWidth="1"/>
    <col min="7" max="8" width="10.875" style="1" customWidth="1"/>
    <col min="9" max="9" width="9.25" style="1" bestFit="1" customWidth="1"/>
    <col min="10" max="16384" width="10.875" style="1"/>
  </cols>
  <sheetData>
    <row r="1" spans="1:15" ht="17.399999999999999" x14ac:dyDescent="0.3">
      <c r="B1" s="15" t="s">
        <v>30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5" x14ac:dyDescent="0.25">
      <c r="A2" s="2" t="s">
        <v>30</v>
      </c>
      <c r="B2" s="2"/>
    </row>
    <row r="3" spans="1:15" ht="18.600000000000001" x14ac:dyDescent="0.4">
      <c r="B3" s="3" t="s">
        <v>29</v>
      </c>
      <c r="C3" s="2"/>
      <c r="D3" s="5" t="s">
        <v>28</v>
      </c>
      <c r="E3" s="4">
        <v>22</v>
      </c>
      <c r="F3" s="1" t="s">
        <v>27</v>
      </c>
    </row>
    <row r="4" spans="1:15" x14ac:dyDescent="0.25">
      <c r="B4" s="2"/>
      <c r="C4" s="2"/>
    </row>
    <row r="5" spans="1:15" x14ac:dyDescent="0.25">
      <c r="B5" s="3" t="s">
        <v>6</v>
      </c>
      <c r="C5" s="2"/>
      <c r="D5" s="5" t="s">
        <v>5</v>
      </c>
      <c r="E5" s="4">
        <v>6.4</v>
      </c>
      <c r="F5" s="1" t="s">
        <v>1</v>
      </c>
      <c r="G5" s="5" t="s">
        <v>4</v>
      </c>
      <c r="H5" s="4">
        <v>6.3</v>
      </c>
      <c r="I5" s="1" t="s">
        <v>1</v>
      </c>
      <c r="J5" s="5" t="s">
        <v>3</v>
      </c>
      <c r="K5" s="4">
        <v>6.45</v>
      </c>
      <c r="L5" s="1" t="s">
        <v>1</v>
      </c>
      <c r="M5" s="5" t="s">
        <v>26</v>
      </c>
      <c r="N5" s="4">
        <f>AVERAGE(E5:K5)</f>
        <v>6.3833333333333329</v>
      </c>
      <c r="O5" s="1" t="s">
        <v>1</v>
      </c>
    </row>
    <row r="6" spans="1:15" x14ac:dyDescent="0.25">
      <c r="B6" s="3" t="s">
        <v>25</v>
      </c>
      <c r="C6" s="2"/>
    </row>
    <row r="7" spans="1:15" x14ac:dyDescent="0.25">
      <c r="B7" s="2"/>
      <c r="C7" s="2"/>
    </row>
    <row r="9" spans="1:15" ht="15.6" x14ac:dyDescent="0.3">
      <c r="B9" s="13" t="s">
        <v>24</v>
      </c>
      <c r="C9" s="13"/>
      <c r="D9" s="13"/>
      <c r="E9" s="13"/>
      <c r="H9" s="13" t="s">
        <v>23</v>
      </c>
      <c r="I9" s="13"/>
      <c r="J9" s="13"/>
      <c r="K9" s="13"/>
    </row>
    <row r="11" spans="1:15" ht="18.600000000000001" x14ac:dyDescent="0.4">
      <c r="B11" s="9" t="s">
        <v>13</v>
      </c>
      <c r="C11" s="8" t="s">
        <v>22</v>
      </c>
      <c r="D11" s="8" t="s">
        <v>21</v>
      </c>
      <c r="E11" s="8" t="s">
        <v>20</v>
      </c>
      <c r="F11" s="8" t="s">
        <v>19</v>
      </c>
      <c r="H11" s="9" t="s">
        <v>13</v>
      </c>
      <c r="I11" s="8" t="s">
        <v>18</v>
      </c>
      <c r="J11" s="8" t="s">
        <v>17</v>
      </c>
      <c r="K11" s="8" t="s">
        <v>16</v>
      </c>
      <c r="L11" s="8" t="s">
        <v>15</v>
      </c>
    </row>
    <row r="12" spans="1:15" x14ac:dyDescent="0.25">
      <c r="B12" s="6">
        <v>1</v>
      </c>
      <c r="C12" s="6">
        <v>240</v>
      </c>
      <c r="D12" s="4">
        <v>2.2000000000000002</v>
      </c>
      <c r="E12" s="6">
        <v>420</v>
      </c>
      <c r="F12" s="6">
        <f>POWER(E12,2)</f>
        <v>176400</v>
      </c>
      <c r="H12" s="6">
        <v>1</v>
      </c>
      <c r="I12" s="14">
        <v>313</v>
      </c>
      <c r="J12" s="4">
        <v>2.97</v>
      </c>
      <c r="K12" s="14">
        <v>81</v>
      </c>
      <c r="L12" s="6">
        <f>POWER(K12,2)</f>
        <v>6561</v>
      </c>
    </row>
    <row r="13" spans="1:15" x14ac:dyDescent="0.25">
      <c r="B13" s="6">
        <v>2</v>
      </c>
      <c r="C13" s="6">
        <v>176</v>
      </c>
      <c r="D13" s="4">
        <v>1.6</v>
      </c>
      <c r="E13" s="6">
        <v>380</v>
      </c>
      <c r="F13" s="6">
        <f>POWER(E13,2)</f>
        <v>144400</v>
      </c>
      <c r="H13" s="6">
        <v>2</v>
      </c>
      <c r="I13" s="14">
        <v>226</v>
      </c>
      <c r="J13" s="4">
        <v>2.4900000000000002</v>
      </c>
      <c r="K13" s="14">
        <v>69.8</v>
      </c>
      <c r="L13" s="6">
        <f>POWER(K13,2)</f>
        <v>4872.04</v>
      </c>
    </row>
    <row r="14" spans="1:15" x14ac:dyDescent="0.25">
      <c r="B14" s="6">
        <v>3</v>
      </c>
      <c r="C14" s="6">
        <v>137</v>
      </c>
      <c r="D14" s="4">
        <v>1.23</v>
      </c>
      <c r="E14" s="6">
        <v>340</v>
      </c>
      <c r="F14" s="6">
        <f>POWER(E14,2)</f>
        <v>115600</v>
      </c>
      <c r="H14" s="6">
        <v>3</v>
      </c>
      <c r="I14" s="14">
        <v>149</v>
      </c>
      <c r="J14" s="4">
        <v>2.0299999999999998</v>
      </c>
      <c r="K14" s="14">
        <v>57.2</v>
      </c>
      <c r="L14" s="6">
        <f>POWER(K14,2)</f>
        <v>3271.84</v>
      </c>
    </row>
    <row r="15" spans="1:15" x14ac:dyDescent="0.25">
      <c r="B15" s="6">
        <v>4</v>
      </c>
      <c r="C15" s="6">
        <v>112</v>
      </c>
      <c r="D15" s="4">
        <v>0.97</v>
      </c>
      <c r="E15" s="6">
        <v>300</v>
      </c>
      <c r="F15" s="6">
        <f>POWER(E15,2)</f>
        <v>90000</v>
      </c>
      <c r="H15" s="6">
        <v>4</v>
      </c>
      <c r="I15" s="14">
        <v>83</v>
      </c>
      <c r="J15" s="4">
        <v>1.51</v>
      </c>
      <c r="K15" s="14">
        <v>43.6</v>
      </c>
      <c r="L15" s="6">
        <f>POWER(K15,2)</f>
        <v>1900.96</v>
      </c>
    </row>
    <row r="16" spans="1:15" x14ac:dyDescent="0.25">
      <c r="B16" s="6">
        <v>5</v>
      </c>
      <c r="C16" s="6">
        <v>95</v>
      </c>
      <c r="D16" s="4">
        <v>0.78</v>
      </c>
      <c r="E16" s="6">
        <v>260</v>
      </c>
      <c r="F16" s="6">
        <f>POWER(E16,2)</f>
        <v>67600</v>
      </c>
      <c r="H16" s="6">
        <v>5</v>
      </c>
      <c r="I16" s="14">
        <v>37.6</v>
      </c>
      <c r="J16" s="4">
        <v>1.03</v>
      </c>
      <c r="K16" s="14">
        <v>30</v>
      </c>
      <c r="L16" s="6">
        <f>POWER(K16,2)</f>
        <v>900</v>
      </c>
    </row>
    <row r="17" spans="2:15" x14ac:dyDescent="0.25">
      <c r="B17" s="6">
        <v>6</v>
      </c>
      <c r="C17" s="6">
        <v>82</v>
      </c>
      <c r="D17" s="4">
        <v>0.65</v>
      </c>
      <c r="E17" s="6">
        <v>220</v>
      </c>
      <c r="F17" s="6">
        <f>POWER(E17,2)</f>
        <v>48400</v>
      </c>
      <c r="H17" s="6"/>
      <c r="I17" s="14"/>
      <c r="J17" s="4"/>
      <c r="K17" s="14"/>
      <c r="L17" s="6"/>
    </row>
    <row r="18" spans="2:15" x14ac:dyDescent="0.25">
      <c r="B18" s="6">
        <v>7</v>
      </c>
      <c r="C18" s="6">
        <v>73</v>
      </c>
      <c r="D18" s="4">
        <v>0.53</v>
      </c>
      <c r="E18" s="6">
        <v>180</v>
      </c>
      <c r="F18" s="6">
        <f>POWER(E18,2)</f>
        <v>32400</v>
      </c>
    </row>
    <row r="19" spans="2:15" ht="15.6" x14ac:dyDescent="0.3">
      <c r="B19" s="6">
        <v>8</v>
      </c>
      <c r="C19" s="6">
        <v>67</v>
      </c>
      <c r="D19" s="4">
        <v>0.44</v>
      </c>
      <c r="E19" s="6">
        <v>140</v>
      </c>
      <c r="F19" s="6">
        <f>POWER(E19,2)</f>
        <v>19600</v>
      </c>
      <c r="H19" s="13" t="s">
        <v>14</v>
      </c>
      <c r="I19" s="13"/>
      <c r="J19" s="13"/>
      <c r="K19" s="13"/>
      <c r="L19" s="13"/>
      <c r="M19" s="13"/>
      <c r="N19" s="13"/>
      <c r="O19" s="12"/>
    </row>
    <row r="20" spans="2:15" x14ac:dyDescent="0.25">
      <c r="B20" s="6">
        <v>9</v>
      </c>
      <c r="C20" s="10">
        <v>62</v>
      </c>
      <c r="D20" s="11">
        <v>0.46</v>
      </c>
      <c r="E20" s="10">
        <v>100</v>
      </c>
      <c r="F20" s="10">
        <f>POWER(E20,2)</f>
        <v>10000</v>
      </c>
    </row>
    <row r="21" spans="2:15" ht="18.600000000000001" x14ac:dyDescent="0.4">
      <c r="B21" s="6">
        <v>10</v>
      </c>
      <c r="C21" s="10">
        <v>58</v>
      </c>
      <c r="D21" s="11">
        <v>0.59</v>
      </c>
      <c r="E21" s="10">
        <v>62</v>
      </c>
      <c r="F21" s="10">
        <f>POWER(E21,2)</f>
        <v>3844</v>
      </c>
      <c r="H21" s="9" t="s">
        <v>13</v>
      </c>
      <c r="I21" s="8" t="s">
        <v>12</v>
      </c>
      <c r="J21" s="8" t="s">
        <v>11</v>
      </c>
      <c r="K21" s="8" t="s">
        <v>10</v>
      </c>
      <c r="L21" s="8" t="s">
        <v>9</v>
      </c>
      <c r="M21" s="8" t="s">
        <v>8</v>
      </c>
      <c r="N21" s="8" t="s">
        <v>7</v>
      </c>
      <c r="O21" s="7"/>
    </row>
    <row r="22" spans="2:15" x14ac:dyDescent="0.25">
      <c r="B22" s="6"/>
      <c r="C22" s="6"/>
      <c r="D22" s="4"/>
      <c r="E22" s="6"/>
      <c r="F22" s="6"/>
      <c r="H22" s="6">
        <v>1</v>
      </c>
      <c r="I22" s="6">
        <v>230</v>
      </c>
      <c r="J22" s="4">
        <v>1.66</v>
      </c>
      <c r="K22" s="6">
        <v>380</v>
      </c>
      <c r="L22" s="6">
        <v>11</v>
      </c>
      <c r="M22" s="6">
        <v>20</v>
      </c>
      <c r="N22" s="6">
        <v>2981</v>
      </c>
    </row>
    <row r="23" spans="2:15" x14ac:dyDescent="0.25">
      <c r="B23" s="6"/>
      <c r="C23" s="6"/>
      <c r="D23" s="4"/>
      <c r="E23" s="6"/>
      <c r="F23" s="6"/>
      <c r="H23" s="6">
        <v>2</v>
      </c>
      <c r="I23" s="6">
        <v>413</v>
      </c>
      <c r="J23" s="4">
        <v>1.7</v>
      </c>
      <c r="K23" s="6">
        <v>380</v>
      </c>
      <c r="L23" s="6">
        <v>40</v>
      </c>
      <c r="M23" s="6">
        <v>20</v>
      </c>
      <c r="N23" s="6">
        <v>2965</v>
      </c>
    </row>
    <row r="24" spans="2:15" x14ac:dyDescent="0.25">
      <c r="B24" s="6"/>
      <c r="C24" s="6"/>
      <c r="D24" s="4"/>
      <c r="E24" s="6"/>
      <c r="F24" s="6"/>
      <c r="H24" s="6">
        <v>3</v>
      </c>
      <c r="I24" s="1">
        <v>481</v>
      </c>
      <c r="J24" s="4">
        <v>1.75</v>
      </c>
      <c r="K24" s="6">
        <v>380</v>
      </c>
      <c r="L24" s="6">
        <v>50</v>
      </c>
      <c r="M24" s="6">
        <v>20</v>
      </c>
      <c r="N24" s="6">
        <v>2955</v>
      </c>
    </row>
    <row r="25" spans="2:15" x14ac:dyDescent="0.25">
      <c r="B25" s="6"/>
      <c r="C25" s="6"/>
      <c r="D25" s="4"/>
      <c r="E25" s="6"/>
      <c r="F25" s="6"/>
      <c r="H25" s="6">
        <v>4</v>
      </c>
      <c r="I25" s="6">
        <v>647</v>
      </c>
      <c r="J25" s="4">
        <v>1.84</v>
      </c>
      <c r="K25" s="6">
        <v>380</v>
      </c>
      <c r="L25" s="6">
        <v>75</v>
      </c>
      <c r="M25" s="6">
        <v>20</v>
      </c>
      <c r="N25" s="6">
        <v>2936</v>
      </c>
    </row>
    <row r="26" spans="2:15" x14ac:dyDescent="0.25">
      <c r="B26" s="6"/>
      <c r="C26" s="6"/>
      <c r="D26" s="4"/>
      <c r="E26" s="6"/>
      <c r="F26" s="6"/>
      <c r="H26" s="6">
        <v>5</v>
      </c>
      <c r="I26" s="6">
        <v>820</v>
      </c>
      <c r="J26" s="4">
        <v>2</v>
      </c>
      <c r="K26" s="6">
        <v>380</v>
      </c>
      <c r="L26" s="6">
        <v>100</v>
      </c>
      <c r="M26" s="6">
        <v>20</v>
      </c>
      <c r="N26" s="6">
        <v>2913</v>
      </c>
    </row>
    <row r="27" spans="2:15" x14ac:dyDescent="0.25">
      <c r="B27" s="6"/>
      <c r="C27" s="6"/>
      <c r="D27" s="4"/>
      <c r="E27" s="6"/>
      <c r="F27" s="6"/>
      <c r="H27" s="6">
        <v>6</v>
      </c>
      <c r="I27" s="6">
        <v>1013</v>
      </c>
      <c r="J27" s="4">
        <v>2.2000000000000002</v>
      </c>
      <c r="K27" s="6">
        <v>380</v>
      </c>
      <c r="L27" s="6">
        <v>130</v>
      </c>
      <c r="M27" s="6">
        <v>20</v>
      </c>
      <c r="N27" s="6">
        <v>2887</v>
      </c>
    </row>
    <row r="29" spans="2:15" x14ac:dyDescent="0.25">
      <c r="B29" s="3" t="s">
        <v>6</v>
      </c>
      <c r="C29" s="2"/>
      <c r="D29" s="5" t="s">
        <v>5</v>
      </c>
      <c r="E29" s="6">
        <v>6.85</v>
      </c>
      <c r="F29" s="1" t="s">
        <v>1</v>
      </c>
      <c r="G29" s="5" t="s">
        <v>4</v>
      </c>
      <c r="H29" s="6">
        <v>6.81</v>
      </c>
      <c r="I29" s="1" t="s">
        <v>1</v>
      </c>
      <c r="J29" s="5" t="s">
        <v>3</v>
      </c>
      <c r="K29" s="6">
        <v>6.98</v>
      </c>
      <c r="L29" s="1" t="s">
        <v>1</v>
      </c>
      <c r="M29" s="5" t="s">
        <v>2</v>
      </c>
      <c r="N29" s="4">
        <f>AVERAGE(E29:K29)</f>
        <v>6.88</v>
      </c>
      <c r="O29" s="1" t="s">
        <v>1</v>
      </c>
    </row>
    <row r="30" spans="2:15" x14ac:dyDescent="0.25">
      <c r="B30" s="3" t="s">
        <v>0</v>
      </c>
      <c r="C30" s="2"/>
    </row>
  </sheetData>
  <mergeCells count="4">
    <mergeCell ref="H19:N19"/>
    <mergeCell ref="B9:E9"/>
    <mergeCell ref="B1:L1"/>
    <mergeCell ref="H9:K9"/>
  </mergeCells>
  <printOptions horizontalCentered="1" verticalCentered="1"/>
  <pageMargins left="0.19685039370078741" right="0.56999999999999995" top="0.98425196850393704" bottom="0.98425196850393704" header="0.51181102362204722" footer="0.51181102362204722"/>
  <pageSetup paperSize="9" scale="99" orientation="landscape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Asincrono</vt:lpstr>
      <vt:lpstr>Asincrono!Print_Area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SPIRITO DANIELE</dc:creator>
  <cp:lastModifiedBy>DI SPIRITO DANIELE</cp:lastModifiedBy>
  <dcterms:created xsi:type="dcterms:W3CDTF">2026-05-19T08:44:59Z</dcterms:created>
  <dcterms:modified xsi:type="dcterms:W3CDTF">2026-05-19T08:46:13Z</dcterms:modified>
</cp:coreProperties>
</file>