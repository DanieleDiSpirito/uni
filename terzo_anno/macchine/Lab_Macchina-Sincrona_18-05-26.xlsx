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uni\terzo_anno\macchine\"/>
    </mc:Choice>
  </mc:AlternateContent>
  <xr:revisionPtr revIDLastSave="0" documentId="13_ncr:1_{619CEB52-61E9-4709-BA43-7D4582B6AC3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incrono" sheetId="1" r:id="rId1"/>
    <sheet name="Corrente continua (dati)" sheetId="7" r:id="rId2"/>
  </sheets>
  <definedNames>
    <definedName name="_xlnm.Print_Area" localSheetId="1">'Corrente continua (dati)'!$A$1:$L$27</definedName>
    <definedName name="_xlnm.Print_Area" localSheetId="0">Sincrono!$B$1:$N$27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M34" i="1"/>
  <c r="M33" i="1"/>
  <c r="M32" i="1"/>
  <c r="M31" i="1"/>
  <c r="H34" i="1"/>
  <c r="H33" i="1"/>
  <c r="H32" i="1"/>
  <c r="H31" i="1"/>
  <c r="H13" i="1"/>
  <c r="J13" i="1" s="1"/>
  <c r="L13" i="1" s="1"/>
  <c r="H24" i="1"/>
  <c r="J24" i="1" s="1"/>
  <c r="L24" i="1" s="1"/>
  <c r="H23" i="1"/>
  <c r="J23" i="1" s="1"/>
  <c r="L23" i="1" s="1"/>
  <c r="H22" i="1"/>
  <c r="J22" i="1" s="1"/>
  <c r="L22" i="1" s="1"/>
  <c r="H21" i="1"/>
  <c r="J21" i="1" s="1"/>
  <c r="L21" i="1" s="1"/>
  <c r="H20" i="1"/>
  <c r="J20" i="1" s="1"/>
  <c r="L20" i="1" s="1"/>
  <c r="H19" i="1"/>
  <c r="J19" i="1" s="1"/>
  <c r="L19" i="1" s="1"/>
  <c r="H18" i="1"/>
  <c r="J18" i="1" s="1"/>
  <c r="L18" i="1" s="1"/>
  <c r="H17" i="1"/>
  <c r="J17" i="1" s="1"/>
  <c r="L17" i="1" s="1"/>
  <c r="H16" i="1"/>
  <c r="J16" i="1" s="1"/>
  <c r="L16" i="1" s="1"/>
  <c r="H15" i="1"/>
  <c r="J15" i="1" s="1"/>
  <c r="L15" i="1" s="1"/>
  <c r="H14" i="1"/>
  <c r="J14" i="1" s="1"/>
  <c r="L14" i="1" s="1"/>
  <c r="M24" i="1"/>
  <c r="M23" i="1"/>
  <c r="M22" i="1"/>
  <c r="M21" i="1"/>
  <c r="M20" i="1"/>
  <c r="M19" i="1"/>
  <c r="M18" i="1"/>
  <c r="M17" i="1"/>
  <c r="M16" i="1"/>
  <c r="M15" i="1"/>
  <c r="M14" i="1"/>
  <c r="M13" i="1"/>
  <c r="N37" i="1"/>
  <c r="N5" i="1"/>
  <c r="J32" i="1" l="1"/>
  <c r="K32" i="1" s="1"/>
  <c r="L32" i="1" s="1"/>
  <c r="J33" i="1"/>
  <c r="K33" i="1" s="1"/>
  <c r="J31" i="1"/>
  <c r="K31" i="1" s="1"/>
  <c r="L31" i="1" s="1"/>
  <c r="J34" i="1"/>
  <c r="K34" i="1" s="1"/>
  <c r="L34" i="1" s="1"/>
  <c r="L33" i="1" l="1"/>
</calcChain>
</file>

<file path=xl/sharedStrings.xml><?xml version="1.0" encoding="utf-8"?>
<sst xmlns="http://schemas.openxmlformats.org/spreadsheetml/2006/main" count="105" uniqueCount="59">
  <si>
    <t>Temperatura ambiente</t>
  </si>
  <si>
    <t>°C</t>
  </si>
  <si>
    <t>Resistenza di statore</t>
  </si>
  <si>
    <t>Ω</t>
  </si>
  <si>
    <r>
      <t>t</t>
    </r>
    <r>
      <rPr>
        <vertAlign val="subscript"/>
        <sz val="12"/>
        <rFont val="Arial"/>
        <family val="2"/>
      </rPr>
      <t xml:space="preserve">a </t>
    </r>
    <r>
      <rPr>
        <sz val="12"/>
        <rFont val="Arial"/>
        <family val="2"/>
      </rPr>
      <t>=</t>
    </r>
  </si>
  <si>
    <t>N</t>
  </si>
  <si>
    <t>PROVA A VUOTO</t>
  </si>
  <si>
    <t>PROVA IN CORTO CIRCUITO</t>
  </si>
  <si>
    <r>
      <t>I</t>
    </r>
    <r>
      <rPr>
        <vertAlign val="subscript"/>
        <sz val="12"/>
        <rFont val="Arial"/>
        <family val="2"/>
      </rPr>
      <t>cc</t>
    </r>
    <r>
      <rPr>
        <sz val="12"/>
        <rFont val="Arial"/>
        <family val="2"/>
      </rPr>
      <t xml:space="preserve"> [A]</t>
    </r>
  </si>
  <si>
    <t>(macchina fredda)</t>
  </si>
  <si>
    <t>(macchina calda)</t>
  </si>
  <si>
    <t>PROVE SUL MOTORE ASINCRONO</t>
  </si>
  <si>
    <t>fase R =</t>
  </si>
  <si>
    <t>fase S =</t>
  </si>
  <si>
    <t>fase T =</t>
  </si>
  <si>
    <t>Ia [A]</t>
  </si>
  <si>
    <t>CARATTERISTICA ESTERNA</t>
  </si>
  <si>
    <t>CARATTERISTICA DI REGOLAZIONE</t>
  </si>
  <si>
    <t>velocità</t>
  </si>
  <si>
    <t>If</t>
  </si>
  <si>
    <t>[giri/min]</t>
  </si>
  <si>
    <t>Va</t>
  </si>
  <si>
    <t>[V]</t>
  </si>
  <si>
    <t>Va [V]</t>
  </si>
  <si>
    <t>PROVE SULLA MACCHINA IN CORRENTE CONTINUA</t>
  </si>
  <si>
    <t>If [mA]</t>
  </si>
  <si>
    <t>Ra</t>
  </si>
  <si>
    <r>
      <t>[</t>
    </r>
    <r>
      <rPr>
        <sz val="12"/>
        <rFont val="Symbol"/>
        <family val="1"/>
        <charset val="2"/>
      </rPr>
      <t>W</t>
    </r>
    <r>
      <rPr>
        <sz val="12"/>
        <rFont val="Arial"/>
        <family val="2"/>
      </rPr>
      <t>]</t>
    </r>
  </si>
  <si>
    <t>Temperatura</t>
  </si>
  <si>
    <r>
      <t>[</t>
    </r>
    <r>
      <rPr>
        <sz val="12"/>
        <rFont val="Arial CE"/>
        <family val="2"/>
        <charset val="238"/>
      </rPr>
      <t>°C</t>
    </r>
    <r>
      <rPr>
        <sz val="12"/>
        <rFont val="Arial"/>
        <family val="2"/>
      </rPr>
      <t>]</t>
    </r>
  </si>
  <si>
    <t>[mA]</t>
  </si>
  <si>
    <t>Rs,f =</t>
  </si>
  <si>
    <t>Rs,c =</t>
  </si>
  <si>
    <t>PROVE SULL'ALTERNATORE</t>
  </si>
  <si>
    <t>motore</t>
  </si>
  <si>
    <t>alternatore</t>
  </si>
  <si>
    <t>Vm [V]</t>
  </si>
  <si>
    <t>Im [A]</t>
  </si>
  <si>
    <t>V0 [V]</t>
  </si>
  <si>
    <t>if [mA]</t>
  </si>
  <si>
    <r>
      <t>V</t>
    </r>
    <r>
      <rPr>
        <vertAlign val="subscript"/>
        <sz val="12"/>
        <rFont val="Arial"/>
        <family val="2"/>
      </rPr>
      <t>m</t>
    </r>
    <r>
      <rPr>
        <sz val="12"/>
        <rFont val="Arial"/>
        <family val="2"/>
      </rPr>
      <t xml:space="preserve"> [V]</t>
    </r>
  </si>
  <si>
    <r>
      <t>I</t>
    </r>
    <r>
      <rPr>
        <vertAlign val="subscript"/>
        <sz val="12"/>
        <rFont val="Arial"/>
        <family val="2"/>
      </rPr>
      <t>m</t>
    </r>
    <r>
      <rPr>
        <sz val="12"/>
        <rFont val="Arial"/>
        <family val="2"/>
      </rPr>
      <t xml:space="preserve"> [A]</t>
    </r>
  </si>
  <si>
    <r>
      <t>I</t>
    </r>
    <r>
      <rPr>
        <vertAlign val="subscript"/>
        <sz val="12"/>
        <rFont val="Arial"/>
        <family val="2"/>
      </rPr>
      <t>f</t>
    </r>
    <r>
      <rPr>
        <sz val="12"/>
        <rFont val="Arial"/>
        <family val="2"/>
      </rPr>
      <t xml:space="preserve"> [mA]</t>
    </r>
  </si>
  <si>
    <t>Pm [W]</t>
  </si>
  <si>
    <t>Po [W]</t>
  </si>
  <si>
    <t>Pav [W]</t>
  </si>
  <si>
    <t>Pfe [W]</t>
  </si>
  <si>
    <t>DATI DI CALCOLO</t>
  </si>
  <si>
    <t>V0^2 [V^2]</t>
  </si>
  <si>
    <t>Pcc [W]</t>
  </si>
  <si>
    <t>Pj [W]</t>
  </si>
  <si>
    <t>Padd [W]</t>
  </si>
  <si>
    <t>Pcc75° [W]</t>
  </si>
  <si>
    <r>
      <t>Icc^2</t>
    </r>
    <r>
      <rPr>
        <sz val="12"/>
        <rFont val="Arial"/>
        <family val="2"/>
      </rPr>
      <t xml:space="preserve"> [A^2]</t>
    </r>
  </si>
  <si>
    <t>Temperatura a caldo</t>
  </si>
  <si>
    <t>alfa=</t>
  </si>
  <si>
    <t>coeff. riporto temper.:</t>
  </si>
  <si>
    <t>V alternatore</t>
  </si>
  <si>
    <t>I alternatore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</si>
</sst>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>
    <font>
      <sz val="9"/>
      <name val="Geneva"/>
    </font>
    <font>
      <sz val="12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Symbol"/>
      <family val="1"/>
      <charset val="2"/>
    </font>
    <font>
      <sz val="12"/>
      <name val="Arial CE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164" fontId="1" fillId="0" borderId="1" xfId="0" applyNumberFormat="1" applyFont="1" applyBorder="1"/>
    <xf numFmtId="165" fontId="1" fillId="0" borderId="1" xfId="0" applyNumberFormat="1" applyFont="1" applyBorder="1"/>
    <xf numFmtId="2" fontId="1" fillId="0" borderId="1" xfId="0" applyNumberFormat="1" applyFont="1" applyBorder="1"/>
    <xf numFmtId="164" fontId="5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/>
    <xf numFmtId="0" fontId="10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Sincrono!$E$13:$E$24</c:f>
              <c:numCache>
                <c:formatCode>General</c:formatCode>
                <c:ptCount val="12"/>
                <c:pt idx="0">
                  <c:v>223</c:v>
                </c:pt>
                <c:pt idx="1">
                  <c:v>208</c:v>
                </c:pt>
                <c:pt idx="2">
                  <c:v>191</c:v>
                </c:pt>
                <c:pt idx="3">
                  <c:v>180</c:v>
                </c:pt>
                <c:pt idx="4">
                  <c:v>168</c:v>
                </c:pt>
                <c:pt idx="5">
                  <c:v>158</c:v>
                </c:pt>
                <c:pt idx="6">
                  <c:v>138</c:v>
                </c:pt>
                <c:pt idx="7">
                  <c:v>106</c:v>
                </c:pt>
                <c:pt idx="8">
                  <c:v>75</c:v>
                </c:pt>
                <c:pt idx="9">
                  <c:v>53</c:v>
                </c:pt>
                <c:pt idx="10">
                  <c:v>25</c:v>
                </c:pt>
                <c:pt idx="11">
                  <c:v>0</c:v>
                </c:pt>
              </c:numCache>
            </c:numRef>
          </c:xVal>
          <c:yVal>
            <c:numRef>
              <c:f>Sincrono!$F$13:$F$24</c:f>
              <c:numCache>
                <c:formatCode>General</c:formatCode>
                <c:ptCount val="12"/>
                <c:pt idx="0">
                  <c:v>250</c:v>
                </c:pt>
                <c:pt idx="1">
                  <c:v>240</c:v>
                </c:pt>
                <c:pt idx="2">
                  <c:v>230</c:v>
                </c:pt>
                <c:pt idx="3">
                  <c:v>220</c:v>
                </c:pt>
                <c:pt idx="4">
                  <c:v>210</c:v>
                </c:pt>
                <c:pt idx="5">
                  <c:v>200</c:v>
                </c:pt>
                <c:pt idx="6">
                  <c:v>180</c:v>
                </c:pt>
                <c:pt idx="7">
                  <c:v>140</c:v>
                </c:pt>
                <c:pt idx="8">
                  <c:v>100</c:v>
                </c:pt>
                <c:pt idx="9">
                  <c:v>70</c:v>
                </c:pt>
                <c:pt idx="10">
                  <c:v>30</c:v>
                </c:pt>
                <c:pt idx="11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0-48C2-AC2B-DFD64EDEF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93408"/>
        <c:axId val="83812352"/>
      </c:scatterChart>
      <c:valAx>
        <c:axId val="837934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</a:t>
                </a:r>
                <a:r>
                  <a:rPr lang="it-IT" baseline="0"/>
                  <a:t> di eccitazione [mA]</a:t>
                </a:r>
                <a:endParaRPr lang="it-IT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3812352"/>
        <c:crosses val="autoZero"/>
        <c:crossBetween val="midCat"/>
      </c:valAx>
      <c:valAx>
        <c:axId val="83812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a vuoto  [V]</a:t>
                </a:r>
              </a:p>
            </c:rich>
          </c:tx>
          <c:layout>
            <c:manualLayout>
              <c:xMode val="edge"/>
              <c:yMode val="edge"/>
              <c:x val="3.0555804377663802E-2"/>
              <c:y val="0.1077794580313222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3793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Sincrono!$M$13:$M$24</c:f>
              <c:numCache>
                <c:formatCode>0.0</c:formatCode>
                <c:ptCount val="12"/>
                <c:pt idx="0">
                  <c:v>62500</c:v>
                </c:pt>
                <c:pt idx="1">
                  <c:v>57600</c:v>
                </c:pt>
                <c:pt idx="2">
                  <c:v>52900</c:v>
                </c:pt>
                <c:pt idx="3">
                  <c:v>48400</c:v>
                </c:pt>
                <c:pt idx="4">
                  <c:v>44100</c:v>
                </c:pt>
                <c:pt idx="5">
                  <c:v>40000</c:v>
                </c:pt>
                <c:pt idx="6">
                  <c:v>32400</c:v>
                </c:pt>
                <c:pt idx="7">
                  <c:v>19600</c:v>
                </c:pt>
                <c:pt idx="8">
                  <c:v>10000</c:v>
                </c:pt>
                <c:pt idx="9">
                  <c:v>4900</c:v>
                </c:pt>
                <c:pt idx="10">
                  <c:v>900</c:v>
                </c:pt>
                <c:pt idx="11">
                  <c:v>7.839999999999999</c:v>
                </c:pt>
              </c:numCache>
            </c:numRef>
          </c:xVal>
          <c:yVal>
            <c:numRef>
              <c:f>Sincrono!$J$13:$J$24</c:f>
              <c:numCache>
                <c:formatCode>0.00</c:formatCode>
                <c:ptCount val="12"/>
                <c:pt idx="0">
                  <c:v>140.45999999999998</c:v>
                </c:pt>
                <c:pt idx="1">
                  <c:v>136.32</c:v>
                </c:pt>
                <c:pt idx="2">
                  <c:v>132.18000000000004</c:v>
                </c:pt>
                <c:pt idx="3">
                  <c:v>130.11000000000001</c:v>
                </c:pt>
                <c:pt idx="4">
                  <c:v>124.98000000000002</c:v>
                </c:pt>
                <c:pt idx="5">
                  <c:v>123.97000000000003</c:v>
                </c:pt>
                <c:pt idx="6">
                  <c:v>116.66</c:v>
                </c:pt>
                <c:pt idx="7">
                  <c:v>104.18</c:v>
                </c:pt>
                <c:pt idx="8">
                  <c:v>95.859999999999985</c:v>
                </c:pt>
                <c:pt idx="9">
                  <c:v>91.700000000000017</c:v>
                </c:pt>
                <c:pt idx="10">
                  <c:v>85.460000000000008</c:v>
                </c:pt>
                <c:pt idx="11">
                  <c:v>83.38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0A-432A-BD98-C0067CF0D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4816"/>
        <c:axId val="83716736"/>
      </c:scatterChart>
      <c:valAx>
        <c:axId val="837148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Quadrato</a:t>
                </a:r>
                <a:r>
                  <a:rPr lang="it-IT" baseline="0"/>
                  <a:t> della t</a:t>
                </a:r>
                <a:r>
                  <a:rPr lang="it-IT"/>
                  <a:t>ensione</a:t>
                </a:r>
                <a:r>
                  <a:rPr lang="it-IT" baseline="0"/>
                  <a:t> a vuoto [V^2]</a:t>
                </a:r>
                <a:endParaRPr lang="it-IT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3716736"/>
        <c:crosses val="autoZero"/>
        <c:crossBetween val="midCat"/>
      </c:valAx>
      <c:valAx>
        <c:axId val="837167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 a vuoto [W]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3714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intercept val="0"/>
            <c:dispRSqr val="0"/>
            <c:dispEq val="0"/>
          </c:trendline>
          <c:xVal>
            <c:numRef>
              <c:f>Sincrono!$E$31:$E$34</c:f>
              <c:numCache>
                <c:formatCode>0.0</c:formatCode>
                <c:ptCount val="4"/>
                <c:pt idx="0">
                  <c:v>475</c:v>
                </c:pt>
                <c:pt idx="1">
                  <c:v>433</c:v>
                </c:pt>
                <c:pt idx="2">
                  <c:v>334</c:v>
                </c:pt>
                <c:pt idx="3">
                  <c:v>202</c:v>
                </c:pt>
              </c:numCache>
            </c:numRef>
          </c:xVal>
          <c:yVal>
            <c:numRef>
              <c:f>Sincrono!$F$31:$F$34</c:f>
              <c:numCache>
                <c:formatCode>General</c:formatCode>
                <c:ptCount val="4"/>
                <c:pt idx="0">
                  <c:v>2</c:v>
                </c:pt>
                <c:pt idx="1">
                  <c:v>1.7</c:v>
                </c:pt>
                <c:pt idx="2">
                  <c:v>1.3</c:v>
                </c:pt>
                <c:pt idx="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09-40E1-A90B-B8A8321E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9504"/>
        <c:axId val="84083456"/>
      </c:scatterChart>
      <c:valAx>
        <c:axId val="83749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</a:t>
                </a:r>
                <a:r>
                  <a:rPr lang="it-IT" baseline="0"/>
                  <a:t> di eccitazione [mA]</a:t>
                </a:r>
                <a:endParaRPr lang="it-IT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4083456"/>
        <c:crosses val="autoZero"/>
        <c:crossBetween val="midCat"/>
      </c:valAx>
      <c:valAx>
        <c:axId val="84083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 di corto circuito [A]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749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intercept val="0"/>
            <c:dispRSqr val="0"/>
            <c:dispEq val="0"/>
          </c:trendline>
          <c:xVal>
            <c:numRef>
              <c:f>Sincrono!$M$31:$M$34</c:f>
              <c:numCache>
                <c:formatCode>0.0</c:formatCode>
                <c:ptCount val="4"/>
                <c:pt idx="0">
                  <c:v>4</c:v>
                </c:pt>
                <c:pt idx="1">
                  <c:v>2.8899999999999997</c:v>
                </c:pt>
                <c:pt idx="2">
                  <c:v>1.6900000000000002</c:v>
                </c:pt>
                <c:pt idx="3">
                  <c:v>0.64000000000000012</c:v>
                </c:pt>
              </c:numCache>
            </c:numRef>
          </c:xVal>
          <c:yVal>
            <c:numRef>
              <c:f>Sincrono!$L$31:$L$34</c:f>
              <c:numCache>
                <c:formatCode>0.0</c:formatCode>
                <c:ptCount val="4"/>
                <c:pt idx="0">
                  <c:v>114.68923076923078</c:v>
                </c:pt>
                <c:pt idx="1">
                  <c:v>92.372584615384625</c:v>
                </c:pt>
                <c:pt idx="2">
                  <c:v>56.042738461538463</c:v>
                </c:pt>
                <c:pt idx="3">
                  <c:v>28.196430769230773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71-4C48-8FE8-968CCBC3F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20320"/>
        <c:axId val="84122240"/>
      </c:scatterChart>
      <c:valAx>
        <c:axId val="841203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Quadrato della corrente di corto circuito [A^2]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4122240"/>
        <c:crosses val="autoZero"/>
        <c:crossBetween val="midCat"/>
      </c:valAx>
      <c:valAx>
        <c:axId val="841222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Potenza</a:t>
                </a:r>
                <a:r>
                  <a:rPr lang="it-IT" baseline="0"/>
                  <a:t> di corto circuito a 75°</a:t>
                </a:r>
                <a:r>
                  <a:rPr lang="it-IT"/>
                  <a:t> [W]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4120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'Corrente continua (dati)'!$C$10:$C$19</c:f>
              <c:numCache>
                <c:formatCode>0.0</c:formatCode>
                <c:ptCount val="10"/>
                <c:pt idx="0">
                  <c:v>0</c:v>
                </c:pt>
                <c:pt idx="1">
                  <c:v>18</c:v>
                </c:pt>
                <c:pt idx="2">
                  <c:v>24.8</c:v>
                </c:pt>
                <c:pt idx="3">
                  <c:v>35</c:v>
                </c:pt>
                <c:pt idx="4">
                  <c:v>47.8</c:v>
                </c:pt>
                <c:pt idx="5">
                  <c:v>55.7</c:v>
                </c:pt>
                <c:pt idx="6">
                  <c:v>68.7</c:v>
                </c:pt>
                <c:pt idx="7">
                  <c:v>89.39</c:v>
                </c:pt>
                <c:pt idx="8">
                  <c:v>116.35</c:v>
                </c:pt>
                <c:pt idx="9">
                  <c:v>195</c:v>
                </c:pt>
              </c:numCache>
            </c:numRef>
          </c:xVal>
          <c:yVal>
            <c:numRef>
              <c:f>'Corrente continua (dati)'!$D$10:$D$19</c:f>
              <c:numCache>
                <c:formatCode>0.0</c:formatCode>
                <c:ptCount val="10"/>
                <c:pt idx="0">
                  <c:v>6.4</c:v>
                </c:pt>
                <c:pt idx="1">
                  <c:v>55.3</c:v>
                </c:pt>
                <c:pt idx="2">
                  <c:v>75.900000000000006</c:v>
                </c:pt>
                <c:pt idx="3">
                  <c:v>107</c:v>
                </c:pt>
                <c:pt idx="4">
                  <c:v>126.6</c:v>
                </c:pt>
                <c:pt idx="5">
                  <c:v>152.6</c:v>
                </c:pt>
                <c:pt idx="6">
                  <c:v>175.7</c:v>
                </c:pt>
                <c:pt idx="7">
                  <c:v>201</c:v>
                </c:pt>
                <c:pt idx="8">
                  <c:v>222.4</c:v>
                </c:pt>
                <c:pt idx="9">
                  <c:v>250.1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5-48A2-B035-C4306800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95584"/>
        <c:axId val="84210048"/>
      </c:scatterChart>
      <c:valAx>
        <c:axId val="84195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 di eccitazione [mA]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4210048"/>
        <c:crosses val="autoZero"/>
        <c:crossBetween val="midCat"/>
      </c:valAx>
      <c:valAx>
        <c:axId val="84210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a vuoto [V]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4195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'Corrente continua (dati)'!$G$10:$G$15</c:f>
              <c:numCache>
                <c:formatCode>0.000</c:formatCode>
                <c:ptCount val="6"/>
                <c:pt idx="0">
                  <c:v>0.59</c:v>
                </c:pt>
                <c:pt idx="1">
                  <c:v>0.84</c:v>
                </c:pt>
                <c:pt idx="2">
                  <c:v>1.377</c:v>
                </c:pt>
                <c:pt idx="3">
                  <c:v>1.98</c:v>
                </c:pt>
                <c:pt idx="4">
                  <c:v>2.5</c:v>
                </c:pt>
                <c:pt idx="5">
                  <c:v>3.42</c:v>
                </c:pt>
              </c:numCache>
            </c:numRef>
          </c:xVal>
          <c:yVal>
            <c:numRef>
              <c:f>'Corrente continua (dati)'!$H$10:$H$15</c:f>
              <c:numCache>
                <c:formatCode>0.00</c:formatCode>
                <c:ptCount val="6"/>
                <c:pt idx="0">
                  <c:v>215.6</c:v>
                </c:pt>
                <c:pt idx="1">
                  <c:v>213.28</c:v>
                </c:pt>
                <c:pt idx="2">
                  <c:v>206.6</c:v>
                </c:pt>
                <c:pt idx="3">
                  <c:v>198.5</c:v>
                </c:pt>
                <c:pt idx="4">
                  <c:v>187.78</c:v>
                </c:pt>
                <c:pt idx="5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F8-416D-B1A1-5B77D2B19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33600"/>
        <c:axId val="84243968"/>
      </c:scatterChart>
      <c:valAx>
        <c:axId val="84233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 di armatura [A]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4243968"/>
        <c:crosses val="autoZero"/>
        <c:crossBetween val="midCat"/>
      </c:valAx>
      <c:valAx>
        <c:axId val="842439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Tensione di armatura [V]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4233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'Corrente continua (dati)'!$K$10:$K$15</c:f>
              <c:numCache>
                <c:formatCode>0.000</c:formatCode>
                <c:ptCount val="6"/>
                <c:pt idx="0">
                  <c:v>0.60599999999999998</c:v>
                </c:pt>
                <c:pt idx="1">
                  <c:v>0.86499999999999999</c:v>
                </c:pt>
                <c:pt idx="2">
                  <c:v>1.46</c:v>
                </c:pt>
                <c:pt idx="3">
                  <c:v>2.1859999999999999</c:v>
                </c:pt>
                <c:pt idx="4">
                  <c:v>3.05</c:v>
                </c:pt>
                <c:pt idx="5">
                  <c:v>3.95</c:v>
                </c:pt>
              </c:numCache>
            </c:numRef>
          </c:xVal>
          <c:yVal>
            <c:numRef>
              <c:f>'Corrente continua (dati)'!$L$10:$L$15</c:f>
              <c:numCache>
                <c:formatCode>0.00</c:formatCode>
                <c:ptCount val="6"/>
                <c:pt idx="0">
                  <c:v>122.5</c:v>
                </c:pt>
                <c:pt idx="1">
                  <c:v>126.35</c:v>
                </c:pt>
                <c:pt idx="2">
                  <c:v>142.15</c:v>
                </c:pt>
                <c:pt idx="3">
                  <c:v>166.05</c:v>
                </c:pt>
                <c:pt idx="4">
                  <c:v>208.82</c:v>
                </c:pt>
                <c:pt idx="5">
                  <c:v>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09-44B6-A037-FA920D03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67776"/>
        <c:axId val="84269696"/>
      </c:scatterChart>
      <c:valAx>
        <c:axId val="842677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 di armatura [A]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84269696"/>
        <c:crosses val="autoZero"/>
        <c:crossBetween val="midCat"/>
      </c:valAx>
      <c:valAx>
        <c:axId val="84269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Corrente di eccitazione [mA]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4267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21</xdr:col>
      <xdr:colOff>228600</xdr:colOff>
      <xdr:row>14</xdr:row>
      <xdr:rowOff>104775</xdr:rowOff>
    </xdr:to>
    <xdr:graphicFrame macro="">
      <xdr:nvGraphicFramePr>
        <xdr:cNvPr id="23679" name="Grafico 1">
          <a:extLst>
            <a:ext uri="{FF2B5EF4-FFF2-40B4-BE49-F238E27FC236}">
              <a16:creationId xmlns:a16="http://schemas.microsoft.com/office/drawing/2014/main" id="{00000000-0008-0000-0000-00007F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228600</xdr:colOff>
      <xdr:row>0</xdr:row>
      <xdr:rowOff>0</xdr:rowOff>
    </xdr:from>
    <xdr:to>
      <xdr:col>27</xdr:col>
      <xdr:colOff>457200</xdr:colOff>
      <xdr:row>14</xdr:row>
      <xdr:rowOff>104775</xdr:rowOff>
    </xdr:to>
    <xdr:graphicFrame macro="">
      <xdr:nvGraphicFramePr>
        <xdr:cNvPr id="23680" name="Grafico 2">
          <a:extLst>
            <a:ext uri="{FF2B5EF4-FFF2-40B4-BE49-F238E27FC236}">
              <a16:creationId xmlns:a16="http://schemas.microsoft.com/office/drawing/2014/main" id="{00000000-0008-0000-0000-000080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</xdr:row>
      <xdr:rowOff>104775</xdr:rowOff>
    </xdr:from>
    <xdr:to>
      <xdr:col>21</xdr:col>
      <xdr:colOff>228600</xdr:colOff>
      <xdr:row>28</xdr:row>
      <xdr:rowOff>19050</xdr:rowOff>
    </xdr:to>
    <xdr:graphicFrame macro="">
      <xdr:nvGraphicFramePr>
        <xdr:cNvPr id="23681" name="Grafico 6">
          <a:extLst>
            <a:ext uri="{FF2B5EF4-FFF2-40B4-BE49-F238E27FC236}">
              <a16:creationId xmlns:a16="http://schemas.microsoft.com/office/drawing/2014/main" id="{00000000-0008-0000-0000-000081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238125</xdr:colOff>
      <xdr:row>14</xdr:row>
      <xdr:rowOff>104775</xdr:rowOff>
    </xdr:from>
    <xdr:to>
      <xdr:col>27</xdr:col>
      <xdr:colOff>466725</xdr:colOff>
      <xdr:row>28</xdr:row>
      <xdr:rowOff>9525</xdr:rowOff>
    </xdr:to>
    <xdr:graphicFrame macro="">
      <xdr:nvGraphicFramePr>
        <xdr:cNvPr id="23682" name="Grafico 7">
          <a:extLst>
            <a:ext uri="{FF2B5EF4-FFF2-40B4-BE49-F238E27FC236}">
              <a16:creationId xmlns:a16="http://schemas.microsoft.com/office/drawing/2014/main" id="{00000000-0008-0000-0000-000082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0</xdr:rowOff>
    </xdr:from>
    <xdr:to>
      <xdr:col>19</xdr:col>
      <xdr:colOff>238125</xdr:colOff>
      <xdr:row>13</xdr:row>
      <xdr:rowOff>104775</xdr:rowOff>
    </xdr:to>
    <xdr:graphicFrame macro="">
      <xdr:nvGraphicFramePr>
        <xdr:cNvPr id="1124" name="Grafico 5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13</xdr:row>
      <xdr:rowOff>104775</xdr:rowOff>
    </xdr:from>
    <xdr:to>
      <xdr:col>19</xdr:col>
      <xdr:colOff>238125</xdr:colOff>
      <xdr:row>24</xdr:row>
      <xdr:rowOff>161925</xdr:rowOff>
    </xdr:to>
    <xdr:graphicFrame macro="">
      <xdr:nvGraphicFramePr>
        <xdr:cNvPr id="1125" name="Grafico 6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24</xdr:row>
      <xdr:rowOff>152400</xdr:rowOff>
    </xdr:from>
    <xdr:to>
      <xdr:col>19</xdr:col>
      <xdr:colOff>238125</xdr:colOff>
      <xdr:row>39</xdr:row>
      <xdr:rowOff>38100</xdr:rowOff>
    </xdr:to>
    <xdr:graphicFrame macro="">
      <xdr:nvGraphicFramePr>
        <xdr:cNvPr id="1126" name="Grafico 7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opLeftCell="B1" zoomScale="70" zoomScaleNormal="70" zoomScaleSheetLayoutView="100" workbookViewId="0">
      <selection activeCell="Z32" sqref="Z32"/>
    </sheetView>
  </sheetViews>
  <sheetFormatPr defaultColWidth="10.875" defaultRowHeight="15"/>
  <cols>
    <col min="1" max="1" width="17.25" style="1" hidden="1" customWidth="1"/>
    <col min="2" max="2" width="9.875" style="1" customWidth="1"/>
    <col min="3" max="3" width="11.375" style="1" customWidth="1"/>
    <col min="4" max="5" width="10.875" style="1" customWidth="1"/>
    <col min="6" max="6" width="10.75" style="1" customWidth="1"/>
    <col min="7" max="8" width="10.875" style="1" customWidth="1"/>
    <col min="9" max="9" width="12" style="1" customWidth="1"/>
    <col min="10" max="10" width="12.375" style="1" customWidth="1"/>
    <col min="11" max="11" width="12.125" style="1" customWidth="1"/>
    <col min="12" max="12" width="12" style="1" customWidth="1"/>
    <col min="13" max="13" width="12.25" style="1" customWidth="1"/>
    <col min="14" max="15" width="10.875" style="1"/>
    <col min="16" max="16" width="15" style="1" customWidth="1"/>
    <col min="17" max="17" width="16" style="1" customWidth="1"/>
    <col min="18" max="16384" width="10.875" style="1"/>
  </cols>
  <sheetData>
    <row r="1" spans="1:15" ht="17.399999999999999">
      <c r="B1" s="29" t="s">
        <v>33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5">
      <c r="A2" s="16" t="s">
        <v>11</v>
      </c>
      <c r="B2" s="16"/>
    </row>
    <row r="3" spans="1:15" ht="18.600000000000001">
      <c r="B3" s="15" t="s">
        <v>0</v>
      </c>
      <c r="C3" s="16"/>
      <c r="D3" s="2" t="s">
        <v>4</v>
      </c>
      <c r="E3" s="13">
        <v>24.2</v>
      </c>
      <c r="F3" s="1" t="s">
        <v>1</v>
      </c>
    </row>
    <row r="4" spans="1:15">
      <c r="B4" s="16"/>
      <c r="C4" s="16"/>
    </row>
    <row r="5" spans="1:15">
      <c r="B5" s="15" t="s">
        <v>2</v>
      </c>
      <c r="C5" s="16"/>
      <c r="D5" s="2" t="s">
        <v>12</v>
      </c>
      <c r="E5" s="13">
        <v>6.3</v>
      </c>
      <c r="F5" s="1" t="s">
        <v>3</v>
      </c>
      <c r="G5" s="2" t="s">
        <v>13</v>
      </c>
      <c r="H5" s="13">
        <v>6.2</v>
      </c>
      <c r="I5" s="1" t="s">
        <v>3</v>
      </c>
      <c r="J5" s="2" t="s">
        <v>14</v>
      </c>
      <c r="K5" s="13">
        <v>6.2</v>
      </c>
      <c r="L5" s="1" t="s">
        <v>3</v>
      </c>
      <c r="M5" s="9" t="s">
        <v>31</v>
      </c>
      <c r="N5" s="13">
        <f>AVERAGE(E5:K5)</f>
        <v>6.2333333333333334</v>
      </c>
      <c r="O5" s="1" t="s">
        <v>3</v>
      </c>
    </row>
    <row r="6" spans="1:15">
      <c r="B6" s="15" t="s">
        <v>9</v>
      </c>
      <c r="C6" s="16"/>
    </row>
    <row r="7" spans="1:15">
      <c r="B7" s="16"/>
      <c r="C7" s="16"/>
    </row>
    <row r="9" spans="1:15" ht="15.6">
      <c r="B9" s="28" t="s">
        <v>6</v>
      </c>
      <c r="C9" s="28"/>
      <c r="D9" s="28"/>
      <c r="E9" s="28"/>
      <c r="H9" s="30" t="s">
        <v>47</v>
      </c>
      <c r="I9" s="28"/>
      <c r="J9" s="28"/>
      <c r="K9" s="28"/>
    </row>
    <row r="11" spans="1:15">
      <c r="B11" s="4" t="s">
        <v>5</v>
      </c>
      <c r="C11" s="5" t="s">
        <v>36</v>
      </c>
      <c r="D11" s="5" t="s">
        <v>37</v>
      </c>
      <c r="E11" s="5" t="s">
        <v>39</v>
      </c>
      <c r="F11" s="5" t="s">
        <v>38</v>
      </c>
      <c r="H11" s="24" t="s">
        <v>43</v>
      </c>
      <c r="I11" s="24" t="s">
        <v>45</v>
      </c>
      <c r="J11" s="24" t="s">
        <v>44</v>
      </c>
      <c r="K11" s="24" t="s">
        <v>45</v>
      </c>
      <c r="L11" s="24" t="s">
        <v>46</v>
      </c>
      <c r="M11" s="24" t="s">
        <v>48</v>
      </c>
    </row>
    <row r="12" spans="1:15">
      <c r="B12" s="4"/>
      <c r="C12" s="5" t="s">
        <v>34</v>
      </c>
      <c r="D12" s="5" t="s">
        <v>34</v>
      </c>
      <c r="E12" s="5" t="s">
        <v>35</v>
      </c>
      <c r="F12" s="24" t="s">
        <v>35</v>
      </c>
      <c r="H12" s="5" t="s">
        <v>34</v>
      </c>
      <c r="I12" s="5" t="s">
        <v>34</v>
      </c>
      <c r="J12" s="5" t="s">
        <v>35</v>
      </c>
      <c r="K12" s="5" t="s">
        <v>35</v>
      </c>
      <c r="L12" s="24" t="s">
        <v>35</v>
      </c>
      <c r="M12" s="24" t="s">
        <v>35</v>
      </c>
    </row>
    <row r="13" spans="1:15">
      <c r="B13" s="3">
        <v>1</v>
      </c>
      <c r="C13" s="3">
        <v>207</v>
      </c>
      <c r="D13" s="13">
        <v>1.1599999999999999</v>
      </c>
      <c r="E13" s="3">
        <v>223</v>
      </c>
      <c r="F13" s="3">
        <v>250</v>
      </c>
      <c r="H13" s="3">
        <f t="shared" ref="H13:H24" si="0">SUMPRODUCT(C13,D13)</f>
        <v>240.11999999999998</v>
      </c>
      <c r="I13" s="11">
        <v>99.66</v>
      </c>
      <c r="J13" s="13">
        <f>H13-I13</f>
        <v>140.45999999999998</v>
      </c>
      <c r="K13" s="11">
        <v>66</v>
      </c>
      <c r="L13" s="13">
        <f>J13-K13</f>
        <v>74.45999999999998</v>
      </c>
      <c r="M13" s="11">
        <f>POWER(F13,2)</f>
        <v>62500</v>
      </c>
    </row>
    <row r="14" spans="1:15">
      <c r="B14" s="3">
        <v>2</v>
      </c>
      <c r="C14" s="3">
        <v>207</v>
      </c>
      <c r="D14" s="13">
        <v>1.1399999999999999</v>
      </c>
      <c r="E14" s="3">
        <v>208</v>
      </c>
      <c r="F14" s="3">
        <v>240</v>
      </c>
      <c r="H14" s="3">
        <f t="shared" si="0"/>
        <v>235.98</v>
      </c>
      <c r="I14" s="11">
        <v>99.66</v>
      </c>
      <c r="J14" s="13">
        <f t="shared" ref="J14:J24" si="1">H14-I14</f>
        <v>136.32</v>
      </c>
      <c r="K14" s="11">
        <v>66</v>
      </c>
      <c r="L14" s="13">
        <f t="shared" ref="L14:L24" si="2">J14-K14</f>
        <v>70.319999999999993</v>
      </c>
      <c r="M14" s="11">
        <f t="shared" ref="M14:M24" si="3">POWER(F14,2)</f>
        <v>57600</v>
      </c>
    </row>
    <row r="15" spans="1:15">
      <c r="B15" s="3">
        <v>3</v>
      </c>
      <c r="C15" s="3">
        <v>207</v>
      </c>
      <c r="D15" s="13">
        <v>1.1200000000000001</v>
      </c>
      <c r="E15" s="3">
        <v>191</v>
      </c>
      <c r="F15" s="3">
        <v>230</v>
      </c>
      <c r="H15" s="3">
        <f t="shared" si="0"/>
        <v>231.84000000000003</v>
      </c>
      <c r="I15" s="11">
        <v>99.66</v>
      </c>
      <c r="J15" s="13">
        <f t="shared" si="1"/>
        <v>132.18000000000004</v>
      </c>
      <c r="K15" s="11">
        <v>66</v>
      </c>
      <c r="L15" s="13">
        <f t="shared" si="2"/>
        <v>66.180000000000035</v>
      </c>
      <c r="M15" s="11">
        <f t="shared" si="3"/>
        <v>52900</v>
      </c>
    </row>
    <row r="16" spans="1:15">
      <c r="B16" s="3">
        <v>4</v>
      </c>
      <c r="C16" s="3">
        <v>207</v>
      </c>
      <c r="D16" s="13">
        <v>1.1100000000000001</v>
      </c>
      <c r="E16" s="3">
        <v>180</v>
      </c>
      <c r="F16" s="3">
        <v>220</v>
      </c>
      <c r="H16" s="3">
        <f t="shared" si="0"/>
        <v>229.77</v>
      </c>
      <c r="I16" s="11">
        <v>99.66</v>
      </c>
      <c r="J16" s="13">
        <f t="shared" si="1"/>
        <v>130.11000000000001</v>
      </c>
      <c r="K16" s="11">
        <v>66</v>
      </c>
      <c r="L16" s="13">
        <f t="shared" si="2"/>
        <v>64.110000000000014</v>
      </c>
      <c r="M16" s="11">
        <f t="shared" si="3"/>
        <v>48400</v>
      </c>
    </row>
    <row r="17" spans="2:18">
      <c r="B17" s="3">
        <v>5</v>
      </c>
      <c r="C17" s="3">
        <v>208</v>
      </c>
      <c r="D17" s="13">
        <v>1.08</v>
      </c>
      <c r="E17" s="3">
        <v>168</v>
      </c>
      <c r="F17" s="3">
        <v>210</v>
      </c>
      <c r="H17" s="3">
        <f t="shared" si="0"/>
        <v>224.64000000000001</v>
      </c>
      <c r="I17" s="11">
        <v>99.66</v>
      </c>
      <c r="J17" s="13">
        <f t="shared" si="1"/>
        <v>124.98000000000002</v>
      </c>
      <c r="K17" s="11">
        <v>66</v>
      </c>
      <c r="L17" s="13">
        <f t="shared" si="2"/>
        <v>58.980000000000018</v>
      </c>
      <c r="M17" s="11">
        <f t="shared" si="3"/>
        <v>44100</v>
      </c>
    </row>
    <row r="18" spans="2:18">
      <c r="B18" s="3">
        <v>6</v>
      </c>
      <c r="C18" s="3">
        <v>209</v>
      </c>
      <c r="D18" s="13">
        <v>1.07</v>
      </c>
      <c r="E18" s="3">
        <v>158</v>
      </c>
      <c r="F18" s="3">
        <v>200</v>
      </c>
      <c r="H18" s="3">
        <f t="shared" si="0"/>
        <v>223.63000000000002</v>
      </c>
      <c r="I18" s="11">
        <v>99.66</v>
      </c>
      <c r="J18" s="13">
        <f t="shared" si="1"/>
        <v>123.97000000000003</v>
      </c>
      <c r="K18" s="11">
        <v>66</v>
      </c>
      <c r="L18" s="13">
        <f t="shared" si="2"/>
        <v>57.970000000000027</v>
      </c>
      <c r="M18" s="11">
        <f t="shared" si="3"/>
        <v>40000</v>
      </c>
    </row>
    <row r="19" spans="2:18">
      <c r="B19" s="3">
        <v>7</v>
      </c>
      <c r="C19" s="3">
        <v>208</v>
      </c>
      <c r="D19" s="13">
        <v>1.04</v>
      </c>
      <c r="E19" s="3">
        <v>138</v>
      </c>
      <c r="F19" s="3">
        <v>180</v>
      </c>
      <c r="H19" s="3">
        <f t="shared" si="0"/>
        <v>216.32</v>
      </c>
      <c r="I19" s="11">
        <v>99.66</v>
      </c>
      <c r="J19" s="13">
        <f t="shared" si="1"/>
        <v>116.66</v>
      </c>
      <c r="K19" s="11">
        <v>66</v>
      </c>
      <c r="L19" s="13">
        <f t="shared" si="2"/>
        <v>50.66</v>
      </c>
      <c r="M19" s="11">
        <f t="shared" si="3"/>
        <v>32400</v>
      </c>
    </row>
    <row r="20" spans="2:18" ht="15.6">
      <c r="B20" s="3">
        <v>8</v>
      </c>
      <c r="C20" s="3">
        <v>208</v>
      </c>
      <c r="D20" s="13">
        <v>0.98</v>
      </c>
      <c r="E20" s="3">
        <v>106</v>
      </c>
      <c r="F20" s="3">
        <v>140</v>
      </c>
      <c r="H20" s="3">
        <f t="shared" si="0"/>
        <v>203.84</v>
      </c>
      <c r="I20" s="11">
        <v>99.66</v>
      </c>
      <c r="J20" s="13">
        <f t="shared" si="1"/>
        <v>104.18</v>
      </c>
      <c r="K20" s="11">
        <v>66</v>
      </c>
      <c r="L20" s="13">
        <f t="shared" si="2"/>
        <v>38.180000000000007</v>
      </c>
      <c r="M20" s="11">
        <f t="shared" si="3"/>
        <v>19600</v>
      </c>
      <c r="N20" s="23"/>
      <c r="O20" s="23"/>
    </row>
    <row r="21" spans="2:18">
      <c r="B21" s="3">
        <v>9</v>
      </c>
      <c r="C21" s="3">
        <v>208</v>
      </c>
      <c r="D21" s="13">
        <v>0.94</v>
      </c>
      <c r="E21" s="3">
        <v>75</v>
      </c>
      <c r="F21" s="3">
        <v>100</v>
      </c>
      <c r="H21" s="3">
        <f t="shared" si="0"/>
        <v>195.51999999999998</v>
      </c>
      <c r="I21" s="11">
        <v>99.66</v>
      </c>
      <c r="J21" s="13">
        <f t="shared" si="1"/>
        <v>95.859999999999985</v>
      </c>
      <c r="K21" s="11">
        <v>66</v>
      </c>
      <c r="L21" s="13">
        <f t="shared" si="2"/>
        <v>29.859999999999985</v>
      </c>
      <c r="M21" s="11">
        <f t="shared" si="3"/>
        <v>10000</v>
      </c>
    </row>
    <row r="22" spans="2:18">
      <c r="B22" s="3">
        <v>10</v>
      </c>
      <c r="C22" s="3">
        <v>208</v>
      </c>
      <c r="D22" s="13">
        <v>0.92</v>
      </c>
      <c r="E22" s="3">
        <v>53</v>
      </c>
      <c r="F22" s="3">
        <v>70</v>
      </c>
      <c r="H22" s="3">
        <f t="shared" si="0"/>
        <v>191.36</v>
      </c>
      <c r="I22" s="11">
        <v>99.66</v>
      </c>
      <c r="J22" s="13">
        <f t="shared" si="1"/>
        <v>91.700000000000017</v>
      </c>
      <c r="K22" s="11">
        <v>66</v>
      </c>
      <c r="L22" s="13">
        <f t="shared" si="2"/>
        <v>25.700000000000017</v>
      </c>
      <c r="M22" s="11">
        <f t="shared" si="3"/>
        <v>4900</v>
      </c>
      <c r="N22" s="21"/>
      <c r="O22" s="21"/>
    </row>
    <row r="23" spans="2:18">
      <c r="B23" s="3">
        <v>11</v>
      </c>
      <c r="C23" s="3">
        <v>208</v>
      </c>
      <c r="D23" s="13">
        <v>0.89</v>
      </c>
      <c r="E23" s="3">
        <v>25</v>
      </c>
      <c r="F23" s="3">
        <v>30</v>
      </c>
      <c r="H23" s="3">
        <f t="shared" si="0"/>
        <v>185.12</v>
      </c>
      <c r="I23" s="11">
        <v>99.66</v>
      </c>
      <c r="J23" s="13">
        <f t="shared" si="1"/>
        <v>85.460000000000008</v>
      </c>
      <c r="K23" s="11">
        <v>66</v>
      </c>
      <c r="L23" s="13">
        <f t="shared" si="2"/>
        <v>19.460000000000008</v>
      </c>
      <c r="M23" s="11">
        <f t="shared" si="3"/>
        <v>900</v>
      </c>
    </row>
    <row r="24" spans="2:18">
      <c r="B24" s="3">
        <v>12</v>
      </c>
      <c r="C24" s="3">
        <v>208</v>
      </c>
      <c r="D24" s="13">
        <v>0.88</v>
      </c>
      <c r="E24" s="3">
        <v>0</v>
      </c>
      <c r="F24" s="3">
        <v>2.8</v>
      </c>
      <c r="H24" s="3">
        <f t="shared" si="0"/>
        <v>183.04</v>
      </c>
      <c r="I24" s="11">
        <v>99.66</v>
      </c>
      <c r="J24" s="13">
        <f t="shared" si="1"/>
        <v>83.38</v>
      </c>
      <c r="K24" s="11">
        <v>66</v>
      </c>
      <c r="L24" s="13">
        <f t="shared" si="2"/>
        <v>17.379999999999995</v>
      </c>
      <c r="M24" s="11">
        <f t="shared" si="3"/>
        <v>7.839999999999999</v>
      </c>
    </row>
    <row r="25" spans="2:18">
      <c r="B25" s="3"/>
      <c r="C25" s="3"/>
      <c r="D25" s="13"/>
      <c r="E25" s="3"/>
      <c r="F25" s="3"/>
      <c r="H25" s="3"/>
      <c r="I25" s="11"/>
      <c r="J25" s="13"/>
      <c r="K25" s="11"/>
      <c r="L25" s="3"/>
      <c r="M25" s="11"/>
    </row>
    <row r="27" spans="2:18" ht="15.6">
      <c r="B27" s="28" t="s">
        <v>7</v>
      </c>
      <c r="C27" s="28"/>
      <c r="D27" s="28"/>
      <c r="E27" s="28"/>
    </row>
    <row r="29" spans="2:18" ht="18.600000000000001">
      <c r="B29" s="4" t="s">
        <v>5</v>
      </c>
      <c r="C29" s="24" t="s">
        <v>40</v>
      </c>
      <c r="D29" s="24" t="s">
        <v>41</v>
      </c>
      <c r="E29" s="24" t="s">
        <v>42</v>
      </c>
      <c r="F29" s="24" t="s">
        <v>8</v>
      </c>
      <c r="H29" s="24" t="s">
        <v>43</v>
      </c>
      <c r="I29" s="24" t="s">
        <v>49</v>
      </c>
      <c r="J29" s="24" t="s">
        <v>50</v>
      </c>
      <c r="K29" s="24" t="s">
        <v>51</v>
      </c>
      <c r="L29" s="24" t="s">
        <v>52</v>
      </c>
      <c r="M29" s="25" t="s">
        <v>53</v>
      </c>
    </row>
    <row r="30" spans="2:18">
      <c r="B30" s="4"/>
      <c r="C30" s="5" t="s">
        <v>34</v>
      </c>
      <c r="D30" s="5" t="s">
        <v>34</v>
      </c>
      <c r="E30" s="5" t="s">
        <v>35</v>
      </c>
      <c r="F30" s="24" t="s">
        <v>35</v>
      </c>
      <c r="H30" s="5" t="s">
        <v>34</v>
      </c>
      <c r="I30" s="5" t="s">
        <v>35</v>
      </c>
      <c r="J30" s="5" t="s">
        <v>35</v>
      </c>
      <c r="K30" s="5" t="s">
        <v>35</v>
      </c>
      <c r="L30" s="24" t="s">
        <v>35</v>
      </c>
      <c r="M30" s="24" t="s">
        <v>35</v>
      </c>
    </row>
    <row r="31" spans="2:18">
      <c r="B31" s="3">
        <v>1</v>
      </c>
      <c r="C31" s="11">
        <v>207</v>
      </c>
      <c r="D31" s="13">
        <v>1.32</v>
      </c>
      <c r="E31" s="11">
        <v>475</v>
      </c>
      <c r="F31" s="3">
        <v>2</v>
      </c>
      <c r="H31" s="3">
        <f>SUMPRODUCT(C31,D31)</f>
        <v>273.24</v>
      </c>
      <c r="I31" s="11">
        <v>95</v>
      </c>
      <c r="J31" s="26">
        <f>3*N37*M31</f>
        <v>78.400000000000006</v>
      </c>
      <c r="K31" s="11">
        <f>I31-J31</f>
        <v>16.599999999999994</v>
      </c>
      <c r="L31" s="11">
        <f>J31*E43+K31/E43</f>
        <v>114.68923076923078</v>
      </c>
      <c r="M31" s="11">
        <f>POWER(F31,2)</f>
        <v>4</v>
      </c>
      <c r="P31" s="3" t="s">
        <v>57</v>
      </c>
      <c r="Q31" s="3" t="s">
        <v>58</v>
      </c>
      <c r="R31" s="3" t="s">
        <v>19</v>
      </c>
    </row>
    <row r="32" spans="2:18">
      <c r="B32" s="3">
        <v>2</v>
      </c>
      <c r="C32" s="11">
        <v>207</v>
      </c>
      <c r="D32" s="13">
        <v>1.25</v>
      </c>
      <c r="E32" s="11">
        <v>433</v>
      </c>
      <c r="F32" s="3">
        <v>1.7</v>
      </c>
      <c r="H32" s="3">
        <f>SUMPRODUCT(C32,D32)</f>
        <v>258.75</v>
      </c>
      <c r="I32" s="11">
        <v>81</v>
      </c>
      <c r="J32" s="26">
        <f>3*N37*M32</f>
        <v>56.643999999999998</v>
      </c>
      <c r="K32" s="11">
        <f>I32-J32</f>
        <v>24.356000000000002</v>
      </c>
      <c r="L32" s="11">
        <f>J32*E43+K32/E43</f>
        <v>92.372584615384625</v>
      </c>
      <c r="M32" s="11">
        <f>POWER(F32,2)</f>
        <v>2.8899999999999997</v>
      </c>
      <c r="P32" s="3">
        <v>403</v>
      </c>
      <c r="Q32" s="3">
        <v>1.59</v>
      </c>
      <c r="R32" s="3">
        <v>655</v>
      </c>
    </row>
    <row r="33" spans="2:15">
      <c r="B33" s="3">
        <v>3</v>
      </c>
      <c r="C33" s="11">
        <v>208</v>
      </c>
      <c r="D33" s="13">
        <v>1.0900000000000001</v>
      </c>
      <c r="E33" s="11">
        <v>334</v>
      </c>
      <c r="F33" s="3">
        <v>1.3</v>
      </c>
      <c r="H33" s="3">
        <f>SUMPRODUCT(C33,D33)</f>
        <v>226.72000000000003</v>
      </c>
      <c r="I33" s="11">
        <v>50</v>
      </c>
      <c r="J33" s="26">
        <f>3*N37*M33</f>
        <v>33.124000000000002</v>
      </c>
      <c r="K33" s="11">
        <f>I33-J33</f>
        <v>16.875999999999998</v>
      </c>
      <c r="L33" s="11">
        <f>J33*E43+K33/E43</f>
        <v>56.042738461538463</v>
      </c>
      <c r="M33" s="11">
        <f>POWER(F33,2)</f>
        <v>1.6900000000000002</v>
      </c>
    </row>
    <row r="34" spans="2:15">
      <c r="B34" s="3">
        <v>4</v>
      </c>
      <c r="C34" s="11">
        <v>208</v>
      </c>
      <c r="D34" s="13">
        <v>0.95</v>
      </c>
      <c r="E34" s="11">
        <v>202</v>
      </c>
      <c r="F34" s="3">
        <v>0.8</v>
      </c>
      <c r="H34" s="3">
        <f>SUMPRODUCT(C34,D34)</f>
        <v>197.6</v>
      </c>
      <c r="I34" s="11">
        <v>28</v>
      </c>
      <c r="J34" s="26">
        <f>3*N37*M34</f>
        <v>12.544000000000004</v>
      </c>
      <c r="K34" s="11">
        <f>I34-J34</f>
        <v>15.455999999999996</v>
      </c>
      <c r="L34" s="11">
        <f>J34*E43+K34/E43</f>
        <v>28.196430769230773</v>
      </c>
      <c r="M34" s="11">
        <f>POWER(F34,2)</f>
        <v>0.64000000000000012</v>
      </c>
    </row>
    <row r="35" spans="2:15">
      <c r="B35" s="3">
        <v>5</v>
      </c>
      <c r="C35" s="11">
        <v>208</v>
      </c>
      <c r="D35" s="13">
        <v>0.85</v>
      </c>
      <c r="E35" s="11">
        <v>0</v>
      </c>
      <c r="F35" s="3">
        <v>5.0000000000000001E-3</v>
      </c>
      <c r="H35" s="3"/>
      <c r="I35" s="11"/>
      <c r="J35" s="13"/>
      <c r="K35" s="11"/>
      <c r="L35" s="3"/>
      <c r="M35" s="3">
        <f>POWER(F35,2)</f>
        <v>2.5000000000000001E-5</v>
      </c>
    </row>
    <row r="37" spans="2:15">
      <c r="B37" s="15" t="s">
        <v>2</v>
      </c>
      <c r="C37" s="16"/>
      <c r="D37" s="2" t="s">
        <v>12</v>
      </c>
      <c r="E37" s="3">
        <v>6.6</v>
      </c>
      <c r="F37" s="1" t="s">
        <v>3</v>
      </c>
      <c r="G37" s="2" t="s">
        <v>13</v>
      </c>
      <c r="H37" s="3">
        <v>6.5</v>
      </c>
      <c r="I37" s="1" t="s">
        <v>3</v>
      </c>
      <c r="J37" s="2" t="s">
        <v>14</v>
      </c>
      <c r="K37" s="3">
        <v>6.5</v>
      </c>
      <c r="L37" s="1" t="s">
        <v>3</v>
      </c>
      <c r="M37" s="9" t="s">
        <v>32</v>
      </c>
      <c r="N37" s="13">
        <f>AVERAGE(E37:K37)</f>
        <v>6.5333333333333341</v>
      </c>
      <c r="O37" s="1" t="s">
        <v>3</v>
      </c>
    </row>
    <row r="38" spans="2:15">
      <c r="B38" s="15" t="s">
        <v>10</v>
      </c>
      <c r="C38" s="16"/>
    </row>
    <row r="41" spans="2:15" ht="18.600000000000001">
      <c r="B41" s="15" t="s">
        <v>54</v>
      </c>
      <c r="C41" s="16"/>
      <c r="D41" s="2" t="s">
        <v>4</v>
      </c>
      <c r="E41" s="13">
        <v>20.399999999999999</v>
      </c>
      <c r="F41" s="1" t="s">
        <v>1</v>
      </c>
    </row>
    <row r="43" spans="2:15">
      <c r="B43" s="15" t="s">
        <v>56</v>
      </c>
      <c r="D43" s="27" t="s">
        <v>55</v>
      </c>
      <c r="E43" s="13">
        <v>1.3</v>
      </c>
    </row>
  </sheetData>
  <mergeCells count="4">
    <mergeCell ref="B9:E9"/>
    <mergeCell ref="B1:L1"/>
    <mergeCell ref="H9:K9"/>
    <mergeCell ref="B27:E27"/>
  </mergeCells>
  <phoneticPr fontId="0" type="noConversion"/>
  <printOptions horizontalCentered="1" verticalCentered="1"/>
  <pageMargins left="0.19685039370078741" right="0.56999999999999995" top="0.98425196850393704" bottom="0.98425196850393704" header="0.51181102362204722" footer="0.51181102362204722"/>
  <pageSetup paperSize="9" scale="99" orientation="landscape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"/>
  <sheetViews>
    <sheetView tabSelected="1" topLeftCell="C2" zoomScaleNormal="100" zoomScaleSheetLayoutView="100" workbookViewId="0">
      <selection activeCell="I18" sqref="I18"/>
    </sheetView>
  </sheetViews>
  <sheetFormatPr defaultColWidth="10.875" defaultRowHeight="15"/>
  <cols>
    <col min="1" max="1" width="7.75" style="1" customWidth="1"/>
    <col min="2" max="2" width="7.375" style="1" customWidth="1"/>
    <col min="3" max="3" width="15.25" style="1" customWidth="1"/>
    <col min="4" max="4" width="13.75" style="1" customWidth="1"/>
    <col min="5" max="5" width="5.875" style="1" customWidth="1"/>
    <col min="6" max="6" width="9.875" style="1" customWidth="1"/>
    <col min="7" max="7" width="18.375" style="1" customWidth="1"/>
    <col min="8" max="8" width="17.375" style="1" customWidth="1"/>
    <col min="9" max="9" width="5.875" style="1" customWidth="1"/>
    <col min="10" max="10" width="14.25" style="1" customWidth="1"/>
    <col min="11" max="11" width="18.125" style="1" customWidth="1"/>
    <col min="12" max="12" width="18" style="1" customWidth="1"/>
    <col min="13" max="13" width="2.875" style="1" customWidth="1"/>
    <col min="14" max="16384" width="10.875" style="1"/>
  </cols>
  <sheetData>
    <row r="1" spans="1:21" ht="17.399999999999999" hidden="1">
      <c r="A1" s="29" t="s">
        <v>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17"/>
      <c r="N1" s="32"/>
      <c r="O1" s="32"/>
      <c r="P1" s="32"/>
      <c r="Q1" s="32"/>
      <c r="R1" s="32"/>
      <c r="S1" s="32"/>
      <c r="T1" s="19"/>
      <c r="U1" s="19"/>
    </row>
    <row r="2" spans="1:21" ht="17.399999999999999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20"/>
      <c r="O2" s="20"/>
      <c r="P2" s="20"/>
      <c r="Q2" s="20"/>
      <c r="R2" s="20"/>
      <c r="S2" s="20"/>
      <c r="T2" s="19"/>
      <c r="U2" s="19"/>
    </row>
    <row r="4" spans="1:21">
      <c r="C4" s="9" t="s">
        <v>26</v>
      </c>
      <c r="D4" s="8"/>
      <c r="E4" s="6" t="s">
        <v>27</v>
      </c>
    </row>
    <row r="5" spans="1:21">
      <c r="C5" s="9" t="s">
        <v>28</v>
      </c>
      <c r="D5" s="8"/>
      <c r="E5" s="6" t="s">
        <v>29</v>
      </c>
    </row>
    <row r="7" spans="1:21" s="10" customFormat="1" ht="13.8">
      <c r="B7" s="31" t="s">
        <v>6</v>
      </c>
      <c r="C7" s="31"/>
      <c r="D7" s="31"/>
      <c r="F7" s="31" t="s">
        <v>16</v>
      </c>
      <c r="G7" s="31"/>
      <c r="H7" s="31"/>
      <c r="J7" s="31" t="s">
        <v>17</v>
      </c>
      <c r="K7" s="31"/>
      <c r="L7" s="31"/>
      <c r="M7" s="18"/>
    </row>
    <row r="9" spans="1:21">
      <c r="B9" s="4" t="s">
        <v>5</v>
      </c>
      <c r="C9" s="5" t="s">
        <v>25</v>
      </c>
      <c r="D9" s="5" t="s">
        <v>23</v>
      </c>
      <c r="F9" s="4" t="s">
        <v>5</v>
      </c>
      <c r="G9" s="5" t="s">
        <v>15</v>
      </c>
      <c r="H9" s="5" t="s">
        <v>23</v>
      </c>
      <c r="J9" s="4" t="s">
        <v>5</v>
      </c>
      <c r="K9" s="5" t="s">
        <v>15</v>
      </c>
      <c r="L9" s="5" t="s">
        <v>25</v>
      </c>
      <c r="M9" s="21"/>
    </row>
    <row r="10" spans="1:21" ht="21" customHeight="1">
      <c r="B10" s="3">
        <v>1</v>
      </c>
      <c r="C10" s="11">
        <v>0</v>
      </c>
      <c r="D10" s="11">
        <v>6.4</v>
      </c>
      <c r="F10" s="3">
        <v>1</v>
      </c>
      <c r="G10" s="12">
        <v>0.59</v>
      </c>
      <c r="H10" s="13">
        <v>215.6</v>
      </c>
      <c r="J10" s="3">
        <v>1</v>
      </c>
      <c r="K10" s="12">
        <v>0.60599999999999998</v>
      </c>
      <c r="L10" s="13">
        <v>122.5</v>
      </c>
      <c r="M10" s="22"/>
    </row>
    <row r="11" spans="1:21" ht="21" customHeight="1">
      <c r="B11" s="3">
        <v>2</v>
      </c>
      <c r="C11" s="11">
        <v>18</v>
      </c>
      <c r="D11" s="11">
        <v>55.3</v>
      </c>
      <c r="F11" s="3">
        <v>2</v>
      </c>
      <c r="G11" s="12">
        <v>0.84</v>
      </c>
      <c r="H11" s="13">
        <v>213.28</v>
      </c>
      <c r="J11" s="3">
        <v>2</v>
      </c>
      <c r="K11" s="12">
        <v>0.86499999999999999</v>
      </c>
      <c r="L11" s="13">
        <v>126.35</v>
      </c>
      <c r="M11" s="22"/>
    </row>
    <row r="12" spans="1:21" ht="21" customHeight="1">
      <c r="B12" s="3">
        <v>3</v>
      </c>
      <c r="C12" s="11">
        <v>24.8</v>
      </c>
      <c r="D12" s="11">
        <v>75.900000000000006</v>
      </c>
      <c r="F12" s="3">
        <v>3</v>
      </c>
      <c r="G12" s="12">
        <v>1.377</v>
      </c>
      <c r="H12" s="13">
        <v>206.6</v>
      </c>
      <c r="J12" s="3">
        <v>3</v>
      </c>
      <c r="K12" s="12">
        <v>1.46</v>
      </c>
      <c r="L12" s="13">
        <v>142.15</v>
      </c>
      <c r="M12" s="22"/>
    </row>
    <row r="13" spans="1:21" ht="21" customHeight="1">
      <c r="B13" s="3">
        <v>4</v>
      </c>
      <c r="C13" s="11">
        <v>35</v>
      </c>
      <c r="D13" s="11">
        <v>107</v>
      </c>
      <c r="F13" s="3">
        <v>4</v>
      </c>
      <c r="G13" s="12">
        <v>1.98</v>
      </c>
      <c r="H13" s="13">
        <v>198.5</v>
      </c>
      <c r="J13" s="3">
        <v>4</v>
      </c>
      <c r="K13" s="12">
        <v>2.1859999999999999</v>
      </c>
      <c r="L13" s="13">
        <v>166.05</v>
      </c>
      <c r="M13" s="22"/>
    </row>
    <row r="14" spans="1:21" ht="21" customHeight="1">
      <c r="B14" s="3">
        <v>5</v>
      </c>
      <c r="C14" s="11">
        <v>47.8</v>
      </c>
      <c r="D14" s="11">
        <v>126.6</v>
      </c>
      <c r="F14" s="3">
        <v>5</v>
      </c>
      <c r="G14" s="12">
        <v>2.5</v>
      </c>
      <c r="H14" s="13">
        <v>187.78</v>
      </c>
      <c r="J14" s="3">
        <v>5</v>
      </c>
      <c r="K14" s="12">
        <v>3.05</v>
      </c>
      <c r="L14" s="13">
        <v>208.82</v>
      </c>
      <c r="M14" s="22"/>
    </row>
    <row r="15" spans="1:21" ht="21" customHeight="1">
      <c r="B15" s="3">
        <v>6</v>
      </c>
      <c r="C15" s="11">
        <v>55.7</v>
      </c>
      <c r="D15" s="11">
        <v>152.6</v>
      </c>
      <c r="F15" s="3">
        <v>6</v>
      </c>
      <c r="G15" s="12">
        <v>3.42</v>
      </c>
      <c r="H15" s="13">
        <v>172.5</v>
      </c>
      <c r="J15" s="3">
        <v>6</v>
      </c>
      <c r="K15" s="12">
        <v>3.95</v>
      </c>
      <c r="L15" s="13">
        <v>273</v>
      </c>
      <c r="M15" s="22"/>
    </row>
    <row r="16" spans="1:21" ht="21" customHeight="1">
      <c r="B16" s="3">
        <v>7</v>
      </c>
      <c r="C16" s="11">
        <v>68.7</v>
      </c>
      <c r="D16" s="11">
        <v>175.7</v>
      </c>
    </row>
    <row r="17" spans="2:13" ht="21" customHeight="1">
      <c r="B17" s="3">
        <v>8</v>
      </c>
      <c r="C17" s="11">
        <v>89.39</v>
      </c>
      <c r="D17" s="11">
        <v>201</v>
      </c>
      <c r="G17" s="9"/>
      <c r="H17" s="6"/>
      <c r="I17" s="6"/>
    </row>
    <row r="18" spans="2:13" ht="21" customHeight="1">
      <c r="B18" s="3">
        <v>9</v>
      </c>
      <c r="C18" s="11">
        <v>116.35</v>
      </c>
      <c r="D18" s="11">
        <v>222.4</v>
      </c>
      <c r="G18" s="9"/>
      <c r="H18" s="6"/>
      <c r="I18" s="6"/>
    </row>
    <row r="19" spans="2:13" ht="21" customHeight="1">
      <c r="B19" s="3">
        <v>10</v>
      </c>
      <c r="C19" s="11">
        <v>195</v>
      </c>
      <c r="D19" s="11">
        <v>250.1</v>
      </c>
    </row>
    <row r="21" spans="2:13" ht="20.399999999999999" customHeight="1">
      <c r="B21" s="9" t="s">
        <v>18</v>
      </c>
      <c r="C21" s="7">
        <v>3000</v>
      </c>
      <c r="D21" s="6" t="s">
        <v>20</v>
      </c>
      <c r="F21" s="9" t="s">
        <v>18</v>
      </c>
      <c r="G21" s="7">
        <v>3000</v>
      </c>
      <c r="H21" s="6" t="s">
        <v>20</v>
      </c>
      <c r="I21" s="2"/>
      <c r="J21" s="9" t="s">
        <v>18</v>
      </c>
      <c r="K21" s="7">
        <v>3000</v>
      </c>
      <c r="L21" s="6" t="s">
        <v>20</v>
      </c>
      <c r="M21" s="6"/>
    </row>
    <row r="22" spans="2:13" ht="20.399999999999999" customHeight="1">
      <c r="B22" s="9"/>
      <c r="C22" s="6"/>
      <c r="D22" s="6"/>
      <c r="F22" s="9" t="s">
        <v>19</v>
      </c>
      <c r="G22" s="14">
        <v>110</v>
      </c>
      <c r="H22" s="6" t="s">
        <v>30</v>
      </c>
      <c r="J22" s="9" t="s">
        <v>21</v>
      </c>
      <c r="K22" s="14">
        <v>220</v>
      </c>
      <c r="L22" s="6" t="s">
        <v>22</v>
      </c>
      <c r="M22" s="6"/>
    </row>
  </sheetData>
  <mergeCells count="5">
    <mergeCell ref="A1:L1"/>
    <mergeCell ref="F7:H7"/>
    <mergeCell ref="J7:L7"/>
    <mergeCell ref="B7:D7"/>
    <mergeCell ref="N1:S1"/>
  </mergeCells>
  <phoneticPr fontId="0" type="noConversion"/>
  <printOptions horizontalCentered="1" verticalCentered="1"/>
  <pageMargins left="0.19685039370078741" right="0.56999999999999995" top="0.98425196850393704" bottom="0.98425196850393704" header="0.51181102362204722" footer="0.51181102362204722"/>
  <pageSetup paperSize="9" orientation="landscape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Sincrono</vt:lpstr>
      <vt:lpstr>Corrente continua (dati)</vt:lpstr>
      <vt:lpstr>'Corrente continua (dati)'!Print_Area</vt:lpstr>
      <vt:lpstr>Sincrono!Print_Area</vt:lpstr>
    </vt:vector>
  </TitlesOfParts>
  <Company>D.E.E. Politecnico di Bari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Giacomo Spinelli</dc:creator>
  <cp:lastModifiedBy>DI SPIRITO DANIELE</cp:lastModifiedBy>
  <cp:lastPrinted>2003-06-19T14:42:53Z</cp:lastPrinted>
  <dcterms:created xsi:type="dcterms:W3CDTF">2001-01-17T11:59:13Z</dcterms:created>
  <dcterms:modified xsi:type="dcterms:W3CDTF">2026-05-19T08:42:18Z</dcterms:modified>
</cp:coreProperties>
</file>