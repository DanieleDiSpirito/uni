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uni\terzo_anno\macchine\"/>
    </mc:Choice>
  </mc:AlternateContent>
  <xr:revisionPtr revIDLastSave="0" documentId="13_ncr:1_{D3066B36-DE9B-44F3-B074-0A0FFD10AD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sformatore" sheetId="10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0" l="1"/>
  <c r="K20" i="10"/>
  <c r="K19" i="10"/>
  <c r="K18" i="10"/>
  <c r="K16" i="10"/>
  <c r="D25" i="10"/>
  <c r="D24" i="10"/>
  <c r="D23" i="10"/>
  <c r="D22" i="10"/>
  <c r="D21" i="10"/>
  <c r="D20" i="10"/>
  <c r="D19" i="10"/>
  <c r="D18" i="10"/>
  <c r="D17" i="10"/>
  <c r="D16" i="10"/>
  <c r="M10" i="10"/>
  <c r="M9" i="10"/>
  <c r="M6" i="10"/>
  <c r="M5" i="10"/>
</calcChain>
</file>

<file path=xl/sharedStrings.xml><?xml version="1.0" encoding="utf-8"?>
<sst xmlns="http://schemas.openxmlformats.org/spreadsheetml/2006/main" count="57" uniqueCount="27">
  <si>
    <t>°C</t>
  </si>
  <si>
    <t>Ω</t>
  </si>
  <si>
    <r>
      <t>t</t>
    </r>
    <r>
      <rPr>
        <vertAlign val="subscript"/>
        <sz val="12"/>
        <rFont val="Arial"/>
        <family val="2"/>
      </rPr>
      <t xml:space="preserve">a </t>
    </r>
    <r>
      <rPr>
        <sz val="12"/>
        <rFont val="Arial"/>
        <family val="2"/>
      </rPr>
      <t>=</t>
    </r>
  </si>
  <si>
    <t>N</t>
  </si>
  <si>
    <t>PROVA A VUOTO</t>
  </si>
  <si>
    <t>PROVA IN CORTO CIRCUITO</t>
  </si>
  <si>
    <r>
      <t>P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[W]</t>
    </r>
  </si>
  <si>
    <r>
      <t>V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[V]</t>
    </r>
  </si>
  <si>
    <t>(macchina fredda)</t>
  </si>
  <si>
    <t>(macchina calda)</t>
  </si>
  <si>
    <t>fase R =</t>
  </si>
  <si>
    <t>fase S =</t>
  </si>
  <si>
    <t>fase T =</t>
  </si>
  <si>
    <t>Rs,f =</t>
  </si>
  <si>
    <t>PROVE SUL TRASFORMATORE</t>
  </si>
  <si>
    <t>Temp. ambiente</t>
  </si>
  <si>
    <t>Resistenza AT</t>
  </si>
  <si>
    <t>Resistenza BT</t>
  </si>
  <si>
    <r>
      <t>V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>[V]</t>
    </r>
  </si>
  <si>
    <r>
      <t>P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>[W]</t>
    </r>
  </si>
  <si>
    <r>
      <t>V</t>
    </r>
    <r>
      <rPr>
        <vertAlign val="subscript"/>
        <sz val="12"/>
        <rFont val="Arial"/>
        <family val="2"/>
      </rPr>
      <t>0^2</t>
    </r>
    <r>
      <rPr>
        <sz val="12"/>
        <rFont val="Arial"/>
        <family val="2"/>
      </rPr>
      <t>[V^2]</t>
    </r>
  </si>
  <si>
    <r>
      <t>I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[mA]</t>
    </r>
  </si>
  <si>
    <r>
      <t>I</t>
    </r>
    <r>
      <rPr>
        <vertAlign val="subscript"/>
        <sz val="12"/>
        <rFont val="Arial"/>
        <family val="2"/>
      </rPr>
      <t>cc^2</t>
    </r>
  </si>
  <si>
    <t>Frequenza</t>
  </si>
  <si>
    <t>Hz</t>
  </si>
  <si>
    <t>f =</t>
  </si>
  <si>
    <r>
      <t>I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>[mA]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</si>
</sst>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9"/>
      <name val="Geneva"/>
    </font>
    <font>
      <sz val="12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Trasformatore!$I$15</c:f>
              <c:strCache>
                <c:ptCount val="1"/>
                <c:pt idx="0">
                  <c:v>Pcc [W]</c:v>
                </c:pt>
              </c:strCache>
            </c:strRef>
          </c:tx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Trasformatore!$H$16:$H$20</c:f>
              <c:numCache>
                <c:formatCode>0</c:formatCode>
                <c:ptCount val="5"/>
                <c:pt idx="0">
                  <c:v>1224</c:v>
                </c:pt>
                <c:pt idx="1">
                  <c:v>1008</c:v>
                </c:pt>
                <c:pt idx="2">
                  <c:v>800</c:v>
                </c:pt>
                <c:pt idx="3">
                  <c:v>606</c:v>
                </c:pt>
                <c:pt idx="4">
                  <c:v>395</c:v>
                </c:pt>
              </c:numCache>
            </c:numRef>
          </c:xVal>
          <c:yVal>
            <c:numRef>
              <c:f>Trasformatore!$I$16:$I$20</c:f>
              <c:numCache>
                <c:formatCode>0.0</c:formatCode>
                <c:ptCount val="5"/>
                <c:pt idx="0" formatCode="0.00">
                  <c:v>151.9</c:v>
                </c:pt>
                <c:pt idx="1">
                  <c:v>104.8</c:v>
                </c:pt>
                <c:pt idx="2" formatCode="General">
                  <c:v>66.3</c:v>
                </c:pt>
                <c:pt idx="3">
                  <c:v>38.5</c:v>
                </c:pt>
                <c:pt idx="4">
                  <c:v>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2-4BDB-B42D-2F2EA510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78624"/>
        <c:axId val="73980544"/>
      </c:scatterChart>
      <c:valAx>
        <c:axId val="739786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Icc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73980544"/>
        <c:crosses val="autoZero"/>
        <c:crossBetween val="midCat"/>
      </c:valAx>
      <c:valAx>
        <c:axId val="739805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Pcc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3978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Trasformatore!$H$16:$H$20</c:f>
              <c:strCache>
                <c:ptCount val="5"/>
                <c:pt idx="0">
                  <c:v>1224</c:v>
                </c:pt>
                <c:pt idx="1">
                  <c:v>1008</c:v>
                </c:pt>
                <c:pt idx="2">
                  <c:v>800</c:v>
                </c:pt>
                <c:pt idx="3">
                  <c:v>606</c:v>
                </c:pt>
                <c:pt idx="4">
                  <c:v>395</c:v>
                </c:pt>
              </c:strCache>
            </c:strRef>
          </c:tx>
          <c:trendline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Trasformatore!$H$16:$H$20</c:f>
              <c:numCache>
                <c:formatCode>0</c:formatCode>
                <c:ptCount val="5"/>
                <c:pt idx="0">
                  <c:v>1224</c:v>
                </c:pt>
                <c:pt idx="1">
                  <c:v>1008</c:v>
                </c:pt>
                <c:pt idx="2">
                  <c:v>800</c:v>
                </c:pt>
                <c:pt idx="3">
                  <c:v>606</c:v>
                </c:pt>
                <c:pt idx="4">
                  <c:v>395</c:v>
                </c:pt>
              </c:numCache>
            </c:numRef>
          </c:xVal>
          <c:yVal>
            <c:numRef>
              <c:f>Trasformatore!$J$16:$J$20</c:f>
              <c:numCache>
                <c:formatCode>0.0</c:formatCode>
                <c:ptCount val="5"/>
                <c:pt idx="0">
                  <c:v>72.3</c:v>
                </c:pt>
                <c:pt idx="1">
                  <c:v>60.4</c:v>
                </c:pt>
                <c:pt idx="2">
                  <c:v>48.2</c:v>
                </c:pt>
                <c:pt idx="3">
                  <c:v>36.9</c:v>
                </c:pt>
                <c:pt idx="4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D-4AB3-AB7F-D8AF3B404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3312"/>
        <c:axId val="74044160"/>
      </c:scatterChart>
      <c:valAx>
        <c:axId val="740133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Icc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74044160"/>
        <c:crosses val="autoZero"/>
        <c:crossBetween val="midCat"/>
      </c:valAx>
      <c:valAx>
        <c:axId val="740441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Vcc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4013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Trasformatore!$K$16:$K$20</c:f>
              <c:numCache>
                <c:formatCode>0</c:formatCode>
                <c:ptCount val="5"/>
                <c:pt idx="0">
                  <c:v>1498176</c:v>
                </c:pt>
                <c:pt idx="1">
                  <c:v>1016064</c:v>
                </c:pt>
                <c:pt idx="2">
                  <c:v>640000</c:v>
                </c:pt>
                <c:pt idx="3">
                  <c:v>367236</c:v>
                </c:pt>
                <c:pt idx="4">
                  <c:v>156025</c:v>
                </c:pt>
              </c:numCache>
            </c:numRef>
          </c:xVal>
          <c:yVal>
            <c:numRef>
              <c:f>Trasformatore!$I$16:$I$20</c:f>
              <c:numCache>
                <c:formatCode>0.0</c:formatCode>
                <c:ptCount val="5"/>
                <c:pt idx="0" formatCode="0.00">
                  <c:v>151.9</c:v>
                </c:pt>
                <c:pt idx="1">
                  <c:v>104.8</c:v>
                </c:pt>
                <c:pt idx="2" formatCode="General">
                  <c:v>66.3</c:v>
                </c:pt>
                <c:pt idx="3">
                  <c:v>38.5</c:v>
                </c:pt>
                <c:pt idx="4">
                  <c:v>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B9-4259-9AB2-2282C0CF6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61952"/>
        <c:axId val="74463872"/>
      </c:scatterChart>
      <c:valAx>
        <c:axId val="744619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Icc^2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74463872"/>
        <c:crosses val="autoZero"/>
        <c:crossBetween val="midCat"/>
      </c:valAx>
      <c:valAx>
        <c:axId val="744638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Pcc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4461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og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Trasformatore!$B$16:$B$25</c:f>
              <c:numCache>
                <c:formatCode>0.0</c:formatCode>
                <c:ptCount val="10"/>
                <c:pt idx="0">
                  <c:v>55.4</c:v>
                </c:pt>
                <c:pt idx="1">
                  <c:v>51.4</c:v>
                </c:pt>
                <c:pt idx="2">
                  <c:v>45.1</c:v>
                </c:pt>
                <c:pt idx="3">
                  <c:v>40</c:v>
                </c:pt>
                <c:pt idx="4">
                  <c:v>35.6</c:v>
                </c:pt>
                <c:pt idx="5">
                  <c:v>31.4</c:v>
                </c:pt>
                <c:pt idx="6">
                  <c:v>27.8</c:v>
                </c:pt>
                <c:pt idx="7">
                  <c:v>20.399999999999999</c:v>
                </c:pt>
                <c:pt idx="8">
                  <c:v>17.7</c:v>
                </c:pt>
                <c:pt idx="9">
                  <c:v>15.1</c:v>
                </c:pt>
              </c:numCache>
            </c:numRef>
          </c:xVal>
          <c:yVal>
            <c:numRef>
              <c:f>Trasformatore!$C$16:$C$25</c:f>
              <c:numCache>
                <c:formatCode>0.0</c:formatCode>
                <c:ptCount val="10"/>
                <c:pt idx="0">
                  <c:v>430.9</c:v>
                </c:pt>
                <c:pt idx="1">
                  <c:v>420.3</c:v>
                </c:pt>
                <c:pt idx="2">
                  <c:v>399.8</c:v>
                </c:pt>
                <c:pt idx="3">
                  <c:v>380</c:v>
                </c:pt>
                <c:pt idx="4">
                  <c:v>360.3</c:v>
                </c:pt>
                <c:pt idx="5">
                  <c:v>340.2</c:v>
                </c:pt>
                <c:pt idx="6">
                  <c:v>288.8</c:v>
                </c:pt>
                <c:pt idx="7">
                  <c:v>240</c:v>
                </c:pt>
                <c:pt idx="8">
                  <c:v>199.4</c:v>
                </c:pt>
                <c:pt idx="9">
                  <c:v>162.4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D3-4F87-84B1-F9A37395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08928"/>
        <c:axId val="85197568"/>
      </c:scatterChart>
      <c:valAx>
        <c:axId val="74508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Io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5197568"/>
        <c:crosses val="autoZero"/>
        <c:crossBetween val="midCat"/>
      </c:valAx>
      <c:valAx>
        <c:axId val="851975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4508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wer"/>
            <c:dispRSqr val="0"/>
            <c:dispEq val="0"/>
          </c:trendline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Trasformatore!$C$16:$C$25</c:f>
              <c:numCache>
                <c:formatCode>0.0</c:formatCode>
                <c:ptCount val="10"/>
                <c:pt idx="0">
                  <c:v>430.9</c:v>
                </c:pt>
                <c:pt idx="1">
                  <c:v>420.3</c:v>
                </c:pt>
                <c:pt idx="2">
                  <c:v>399.8</c:v>
                </c:pt>
                <c:pt idx="3">
                  <c:v>380</c:v>
                </c:pt>
                <c:pt idx="4">
                  <c:v>360.3</c:v>
                </c:pt>
                <c:pt idx="5">
                  <c:v>340.2</c:v>
                </c:pt>
                <c:pt idx="6">
                  <c:v>288.8</c:v>
                </c:pt>
                <c:pt idx="7">
                  <c:v>240</c:v>
                </c:pt>
                <c:pt idx="8">
                  <c:v>199.4</c:v>
                </c:pt>
                <c:pt idx="9">
                  <c:v>162.4</c:v>
                </c:pt>
              </c:numCache>
            </c:numRef>
          </c:xVal>
          <c:yVal>
            <c:numRef>
              <c:f>Trasformatore!$E$16:$E$25</c:f>
              <c:numCache>
                <c:formatCode>0.0</c:formatCode>
                <c:ptCount val="10"/>
                <c:pt idx="0">
                  <c:v>16.100000000000001</c:v>
                </c:pt>
                <c:pt idx="1">
                  <c:v>15.3</c:v>
                </c:pt>
                <c:pt idx="2">
                  <c:v>14</c:v>
                </c:pt>
                <c:pt idx="3">
                  <c:v>12.7</c:v>
                </c:pt>
                <c:pt idx="4">
                  <c:v>11.6</c:v>
                </c:pt>
                <c:pt idx="5">
                  <c:v>10.4</c:v>
                </c:pt>
                <c:pt idx="6">
                  <c:v>7.8</c:v>
                </c:pt>
                <c:pt idx="7">
                  <c:v>5.7</c:v>
                </c:pt>
                <c:pt idx="8">
                  <c:v>4.0999999999999996</c:v>
                </c:pt>
                <c:pt idx="9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68-4F01-9B36-208B1900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2912"/>
        <c:axId val="85224832"/>
      </c:scatterChart>
      <c:valAx>
        <c:axId val="852229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Vo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5224832"/>
        <c:crosses val="autoZero"/>
        <c:crossBetween val="midCat"/>
      </c:valAx>
      <c:valAx>
        <c:axId val="852248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5222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xVal>
            <c:numRef>
              <c:f>Trasformatore!$D$16:$D$25</c:f>
              <c:numCache>
                <c:formatCode>0.0</c:formatCode>
                <c:ptCount val="10"/>
                <c:pt idx="0">
                  <c:v>185674.80999999997</c:v>
                </c:pt>
                <c:pt idx="1">
                  <c:v>176652.09</c:v>
                </c:pt>
                <c:pt idx="2">
                  <c:v>159840.04</c:v>
                </c:pt>
                <c:pt idx="3">
                  <c:v>144400</c:v>
                </c:pt>
                <c:pt idx="4">
                  <c:v>129816.09000000001</c:v>
                </c:pt>
                <c:pt idx="5">
                  <c:v>115736.04</c:v>
                </c:pt>
                <c:pt idx="6">
                  <c:v>83405.440000000002</c:v>
                </c:pt>
                <c:pt idx="7">
                  <c:v>57600</c:v>
                </c:pt>
                <c:pt idx="8">
                  <c:v>39760.36</c:v>
                </c:pt>
                <c:pt idx="9">
                  <c:v>26373.760000000002</c:v>
                </c:pt>
              </c:numCache>
            </c:numRef>
          </c:xVal>
          <c:yVal>
            <c:numRef>
              <c:f>Trasformatore!$E$16:$E$25</c:f>
              <c:numCache>
                <c:formatCode>0.0</c:formatCode>
                <c:ptCount val="10"/>
                <c:pt idx="0">
                  <c:v>16.100000000000001</c:v>
                </c:pt>
                <c:pt idx="1">
                  <c:v>15.3</c:v>
                </c:pt>
                <c:pt idx="2">
                  <c:v>14</c:v>
                </c:pt>
                <c:pt idx="3">
                  <c:v>12.7</c:v>
                </c:pt>
                <c:pt idx="4">
                  <c:v>11.6</c:v>
                </c:pt>
                <c:pt idx="5">
                  <c:v>10.4</c:v>
                </c:pt>
                <c:pt idx="6">
                  <c:v>7.8</c:v>
                </c:pt>
                <c:pt idx="7">
                  <c:v>5.7</c:v>
                </c:pt>
                <c:pt idx="8">
                  <c:v>4.0999999999999996</c:v>
                </c:pt>
                <c:pt idx="9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0A-4296-832F-EDC7C9C5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57600"/>
        <c:axId val="85272064"/>
      </c:scatterChart>
      <c:valAx>
        <c:axId val="85257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Vo^2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5272064"/>
        <c:crosses val="autoZero"/>
        <c:crossBetween val="midCat"/>
      </c:valAx>
      <c:valAx>
        <c:axId val="852720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5257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48</xdr:row>
      <xdr:rowOff>9525</xdr:rowOff>
    </xdr:from>
    <xdr:to>
      <xdr:col>7</xdr:col>
      <xdr:colOff>323850</xdr:colOff>
      <xdr:row>66</xdr:row>
      <xdr:rowOff>9525</xdr:rowOff>
    </xdr:to>
    <xdr:graphicFrame macro="">
      <xdr:nvGraphicFramePr>
        <xdr:cNvPr id="103535" name="Grafico 1">
          <a:extLst>
            <a:ext uri="{FF2B5EF4-FFF2-40B4-BE49-F238E27FC236}">
              <a16:creationId xmlns:a16="http://schemas.microsoft.com/office/drawing/2014/main" id="{00000000-0008-0000-0000-00006F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48</xdr:row>
      <xdr:rowOff>9525</xdr:rowOff>
    </xdr:from>
    <xdr:to>
      <xdr:col>22</xdr:col>
      <xdr:colOff>85725</xdr:colOff>
      <xdr:row>66</xdr:row>
      <xdr:rowOff>9525</xdr:rowOff>
    </xdr:to>
    <xdr:graphicFrame macro="">
      <xdr:nvGraphicFramePr>
        <xdr:cNvPr id="103536" name="Grafico 3">
          <a:extLst>
            <a:ext uri="{FF2B5EF4-FFF2-40B4-BE49-F238E27FC236}">
              <a16:creationId xmlns:a16="http://schemas.microsoft.com/office/drawing/2014/main" id="{00000000-0008-0000-0000-000070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333375</xdr:colOff>
      <xdr:row>48</xdr:row>
      <xdr:rowOff>9525</xdr:rowOff>
    </xdr:from>
    <xdr:to>
      <xdr:col>15</xdr:col>
      <xdr:colOff>0</xdr:colOff>
      <xdr:row>66</xdr:row>
      <xdr:rowOff>9525</xdr:rowOff>
    </xdr:to>
    <xdr:graphicFrame macro="">
      <xdr:nvGraphicFramePr>
        <xdr:cNvPr id="103537" name="Grafico 4">
          <a:extLst>
            <a:ext uri="{FF2B5EF4-FFF2-40B4-BE49-F238E27FC236}">
              <a16:creationId xmlns:a16="http://schemas.microsoft.com/office/drawing/2014/main" id="{00000000-0008-0000-0000-000071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304800</xdr:colOff>
      <xdr:row>47</xdr:row>
      <xdr:rowOff>0</xdr:rowOff>
    </xdr:to>
    <xdr:graphicFrame macro="">
      <xdr:nvGraphicFramePr>
        <xdr:cNvPr id="103538" name="Grafico 5">
          <a:extLst>
            <a:ext uri="{FF2B5EF4-FFF2-40B4-BE49-F238E27FC236}">
              <a16:creationId xmlns:a16="http://schemas.microsoft.com/office/drawing/2014/main" id="{00000000-0008-0000-0000-000072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323850</xdr:colOff>
      <xdr:row>29</xdr:row>
      <xdr:rowOff>9525</xdr:rowOff>
    </xdr:from>
    <xdr:to>
      <xdr:col>14</xdr:col>
      <xdr:colOff>600075</xdr:colOff>
      <xdr:row>47</xdr:row>
      <xdr:rowOff>9525</xdr:rowOff>
    </xdr:to>
    <xdr:graphicFrame macro="">
      <xdr:nvGraphicFramePr>
        <xdr:cNvPr id="103539" name="Grafico 6">
          <a:extLst>
            <a:ext uri="{FF2B5EF4-FFF2-40B4-BE49-F238E27FC236}">
              <a16:creationId xmlns:a16="http://schemas.microsoft.com/office/drawing/2014/main" id="{00000000-0008-0000-0000-000073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29</xdr:row>
      <xdr:rowOff>9525</xdr:rowOff>
    </xdr:from>
    <xdr:to>
      <xdr:col>22</xdr:col>
      <xdr:colOff>76200</xdr:colOff>
      <xdr:row>47</xdr:row>
      <xdr:rowOff>9525</xdr:rowOff>
    </xdr:to>
    <xdr:graphicFrame macro="">
      <xdr:nvGraphicFramePr>
        <xdr:cNvPr id="103540" name="Grafico 7">
          <a:extLst>
            <a:ext uri="{FF2B5EF4-FFF2-40B4-BE49-F238E27FC236}">
              <a16:creationId xmlns:a16="http://schemas.microsoft.com/office/drawing/2014/main" id="{00000000-0008-0000-0000-0000749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\uni\terzo_anno\macchine\Lab_Macchina-Asincrona_08-06-2026.xlsx" TargetMode="External"/><Relationship Id="rId1" Type="http://schemas.openxmlformats.org/officeDocument/2006/relationships/externalLinkPath" Target="Lab_Macchina-Asincrona_08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incrono"/>
    </sheetNames>
    <sheetDataSet>
      <sheetData sheetId="0">
        <row r="12">
          <cell r="C12">
            <v>240</v>
          </cell>
          <cell r="D12">
            <v>2.2000000000000002</v>
          </cell>
          <cell r="E12">
            <v>420</v>
          </cell>
          <cell r="F12">
            <v>176400</v>
          </cell>
          <cell r="I12">
            <v>313</v>
          </cell>
          <cell r="J12">
            <v>2.97</v>
          </cell>
          <cell r="K12">
            <v>81</v>
          </cell>
          <cell r="L12">
            <v>6561</v>
          </cell>
        </row>
        <row r="13">
          <cell r="C13">
            <v>176</v>
          </cell>
          <cell r="D13">
            <v>1.6</v>
          </cell>
          <cell r="E13">
            <v>380</v>
          </cell>
          <cell r="F13">
            <v>144400</v>
          </cell>
          <cell r="I13">
            <v>226</v>
          </cell>
          <cell r="J13">
            <v>2.4900000000000002</v>
          </cell>
          <cell r="K13">
            <v>69.8</v>
          </cell>
          <cell r="L13">
            <v>4872.04</v>
          </cell>
        </row>
        <row r="14">
          <cell r="C14">
            <v>137</v>
          </cell>
          <cell r="D14">
            <v>1.23</v>
          </cell>
          <cell r="E14">
            <v>340</v>
          </cell>
          <cell r="F14">
            <v>115600</v>
          </cell>
          <cell r="I14">
            <v>149</v>
          </cell>
          <cell r="J14">
            <v>2.0299999999999998</v>
          </cell>
          <cell r="K14">
            <v>57.2</v>
          </cell>
          <cell r="L14">
            <v>3271.84</v>
          </cell>
        </row>
        <row r="15">
          <cell r="C15">
            <v>112</v>
          </cell>
          <cell r="D15">
            <v>0.97</v>
          </cell>
          <cell r="E15">
            <v>300</v>
          </cell>
          <cell r="F15">
            <v>90000</v>
          </cell>
          <cell r="I15">
            <v>83</v>
          </cell>
          <cell r="J15">
            <v>1.51</v>
          </cell>
          <cell r="K15">
            <v>43.6</v>
          </cell>
          <cell r="L15">
            <v>1900.96</v>
          </cell>
        </row>
        <row r="16">
          <cell r="C16">
            <v>95</v>
          </cell>
          <cell r="D16">
            <v>0.78</v>
          </cell>
          <cell r="E16">
            <v>260</v>
          </cell>
          <cell r="F16">
            <v>67600</v>
          </cell>
          <cell r="I16">
            <v>37.6</v>
          </cell>
          <cell r="J16">
            <v>1.03</v>
          </cell>
          <cell r="K16">
            <v>30</v>
          </cell>
          <cell r="L16">
            <v>900</v>
          </cell>
        </row>
        <row r="17">
          <cell r="C17">
            <v>82</v>
          </cell>
          <cell r="D17">
            <v>0.65</v>
          </cell>
          <cell r="E17">
            <v>220</v>
          </cell>
          <cell r="F17">
            <v>48400</v>
          </cell>
        </row>
        <row r="18">
          <cell r="C18">
            <v>73</v>
          </cell>
          <cell r="D18">
            <v>0.53</v>
          </cell>
          <cell r="E18">
            <v>180</v>
          </cell>
          <cell r="F18">
            <v>32400</v>
          </cell>
        </row>
        <row r="19">
          <cell r="C19">
            <v>67</v>
          </cell>
          <cell r="D19">
            <v>0.44</v>
          </cell>
          <cell r="E19">
            <v>140</v>
          </cell>
          <cell r="F19">
            <v>19600</v>
          </cell>
        </row>
        <row r="22">
          <cell r="I22">
            <v>230</v>
          </cell>
          <cell r="J22">
            <v>1.66</v>
          </cell>
        </row>
        <row r="23">
          <cell r="I23">
            <v>413</v>
          </cell>
          <cell r="J23">
            <v>1.7</v>
          </cell>
        </row>
        <row r="24">
          <cell r="I24">
            <v>481</v>
          </cell>
          <cell r="J24">
            <v>1.75</v>
          </cell>
        </row>
        <row r="25">
          <cell r="I25">
            <v>647</v>
          </cell>
          <cell r="J25">
            <v>1.84</v>
          </cell>
        </row>
        <row r="26">
          <cell r="I26">
            <v>820</v>
          </cell>
          <cell r="J26">
            <v>2</v>
          </cell>
        </row>
        <row r="27">
          <cell r="I27">
            <v>1013</v>
          </cell>
          <cell r="J27">
            <v>2.2000000000000002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="85" zoomScaleNormal="85" workbookViewId="0">
      <selection activeCell="U18" sqref="U18"/>
    </sheetView>
  </sheetViews>
  <sheetFormatPr defaultRowHeight="11.4"/>
  <cols>
    <col min="1" max="1" width="9" style="10"/>
    <col min="2" max="2" width="8.375" style="10" bestFit="1" customWidth="1"/>
    <col min="3" max="3" width="10.875" style="10" bestFit="1" customWidth="1"/>
    <col min="4" max="4" width="12.875" style="10" bestFit="1" customWidth="1"/>
    <col min="5" max="5" width="9.25" style="10" bestFit="1" customWidth="1"/>
    <col min="6" max="6" width="11.5" style="10" bestFit="1" customWidth="1"/>
    <col min="7" max="8" width="9" style="10"/>
    <col min="9" max="9" width="10.375" style="10" bestFit="1" customWidth="1"/>
    <col min="10" max="10" width="9" style="10"/>
    <col min="11" max="11" width="10.75" style="10" bestFit="1" customWidth="1"/>
    <col min="12" max="12" width="9.125" style="10" bestFit="1" customWidth="1"/>
    <col min="13" max="13" width="9.625" style="10" bestFit="1" customWidth="1"/>
    <col min="14" max="14" width="8.75" style="10" customWidth="1"/>
    <col min="15" max="16" width="9" style="10"/>
    <col min="17" max="17" width="10.75" style="10" customWidth="1"/>
    <col min="18" max="18" width="11" style="10" customWidth="1"/>
    <col min="19" max="16384" width="9" style="10"/>
  </cols>
  <sheetData>
    <row r="1" spans="1:20" ht="24" customHeight="1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0" ht="15" customHeight="1">
      <c r="A2" s="1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20" ht="15" customHeight="1">
      <c r="A3" s="20" t="s">
        <v>15</v>
      </c>
      <c r="B3" s="20"/>
      <c r="C3" s="2" t="s">
        <v>2</v>
      </c>
      <c r="D3" s="18">
        <v>25.7</v>
      </c>
      <c r="E3" s="5" t="s">
        <v>0</v>
      </c>
      <c r="F3" s="1" t="s">
        <v>23</v>
      </c>
      <c r="G3" s="3" t="s">
        <v>25</v>
      </c>
      <c r="H3" s="19">
        <v>50</v>
      </c>
      <c r="I3" s="4" t="s">
        <v>24</v>
      </c>
      <c r="J3" s="9"/>
      <c r="K3" s="9"/>
      <c r="L3" s="9"/>
      <c r="M3" s="9"/>
      <c r="N3" s="9"/>
    </row>
    <row r="4" spans="1:20" ht="15" customHeight="1">
      <c r="A4" s="11"/>
      <c r="B4" s="1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20" ht="15">
      <c r="A5" s="20" t="s">
        <v>16</v>
      </c>
      <c r="B5" s="20"/>
      <c r="C5" s="2" t="s">
        <v>10</v>
      </c>
      <c r="D5" s="18">
        <v>14.8</v>
      </c>
      <c r="E5" s="5" t="s">
        <v>1</v>
      </c>
      <c r="F5" s="2" t="s">
        <v>11</v>
      </c>
      <c r="G5" s="18">
        <v>14.8</v>
      </c>
      <c r="H5" s="5" t="s">
        <v>1</v>
      </c>
      <c r="I5" s="2" t="s">
        <v>12</v>
      </c>
      <c r="J5" s="18">
        <v>15</v>
      </c>
      <c r="K5" s="5" t="s">
        <v>1</v>
      </c>
      <c r="L5" s="3" t="s">
        <v>13</v>
      </c>
      <c r="M5" s="18">
        <f>AVERAGE(D5:J5)</f>
        <v>14.866666666666667</v>
      </c>
      <c r="N5" s="5" t="s">
        <v>1</v>
      </c>
    </row>
    <row r="6" spans="1:20" ht="15">
      <c r="A6" s="20" t="s">
        <v>17</v>
      </c>
      <c r="B6" s="20"/>
      <c r="C6" s="2" t="s">
        <v>10</v>
      </c>
      <c r="D6" s="18">
        <v>2.7</v>
      </c>
      <c r="E6" s="5" t="s">
        <v>1</v>
      </c>
      <c r="F6" s="2" t="s">
        <v>11</v>
      </c>
      <c r="G6" s="18">
        <v>2.7</v>
      </c>
      <c r="H6" s="5" t="s">
        <v>1</v>
      </c>
      <c r="I6" s="2" t="s">
        <v>12</v>
      </c>
      <c r="J6" s="18">
        <v>2.7</v>
      </c>
      <c r="K6" s="5" t="s">
        <v>1</v>
      </c>
      <c r="L6" s="3" t="s">
        <v>13</v>
      </c>
      <c r="M6" s="18">
        <f>AVERAGE(D6:J6)</f>
        <v>2.7000000000000006</v>
      </c>
      <c r="N6" s="5" t="s">
        <v>1</v>
      </c>
    </row>
    <row r="7" spans="1:20" ht="15" customHeight="1">
      <c r="A7" s="20" t="s">
        <v>8</v>
      </c>
      <c r="B7" s="20"/>
      <c r="C7" s="20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20" ht="15" customHeight="1">
      <c r="A8" s="11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20" ht="15" customHeight="1">
      <c r="A9" s="20" t="s">
        <v>16</v>
      </c>
      <c r="B9" s="20"/>
      <c r="C9" s="2" t="s">
        <v>10</v>
      </c>
      <c r="D9" s="18">
        <v>15.4</v>
      </c>
      <c r="E9" s="5" t="s">
        <v>1</v>
      </c>
      <c r="F9" s="2" t="s">
        <v>11</v>
      </c>
      <c r="G9" s="18">
        <v>15.4</v>
      </c>
      <c r="H9" s="5" t="s">
        <v>1</v>
      </c>
      <c r="I9" s="2" t="s">
        <v>12</v>
      </c>
      <c r="J9" s="18">
        <v>15.5</v>
      </c>
      <c r="K9" s="5" t="s">
        <v>1</v>
      </c>
      <c r="L9" s="3" t="s">
        <v>13</v>
      </c>
      <c r="M9" s="18">
        <f>AVERAGE(D9:J9)</f>
        <v>15.433333333333332</v>
      </c>
      <c r="N9" s="5" t="s">
        <v>1</v>
      </c>
    </row>
    <row r="10" spans="1:20" ht="15" customHeight="1">
      <c r="A10" s="20" t="s">
        <v>17</v>
      </c>
      <c r="B10" s="20"/>
      <c r="C10" s="2" t="s">
        <v>10</v>
      </c>
      <c r="D10" s="18">
        <v>2.8</v>
      </c>
      <c r="E10" s="5" t="s">
        <v>1</v>
      </c>
      <c r="F10" s="2" t="s">
        <v>11</v>
      </c>
      <c r="G10" s="18">
        <v>2.8</v>
      </c>
      <c r="H10" s="5" t="s">
        <v>1</v>
      </c>
      <c r="I10" s="2" t="s">
        <v>12</v>
      </c>
      <c r="J10" s="18">
        <v>2.8</v>
      </c>
      <c r="K10" s="5" t="s">
        <v>1</v>
      </c>
      <c r="L10" s="3" t="s">
        <v>13</v>
      </c>
      <c r="M10" s="18">
        <f>AVERAGE(D10:J10)</f>
        <v>2.7999999999999994</v>
      </c>
      <c r="N10" s="5" t="s">
        <v>1</v>
      </c>
    </row>
    <row r="11" spans="1:20" ht="15" customHeight="1">
      <c r="A11" s="20" t="s">
        <v>9</v>
      </c>
      <c r="B11" s="20"/>
      <c r="C11" s="20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0" ht="15" customHeight="1"/>
    <row r="14" spans="1:20" ht="15.6">
      <c r="A14" s="22" t="s">
        <v>4</v>
      </c>
      <c r="B14" s="22"/>
      <c r="C14" s="22"/>
      <c r="D14" s="22"/>
      <c r="E14" s="22"/>
      <c r="F14" s="9"/>
      <c r="G14" s="22" t="s">
        <v>5</v>
      </c>
      <c r="H14" s="22"/>
      <c r="I14" s="22"/>
      <c r="J14" s="22"/>
      <c r="K14" s="22"/>
      <c r="L14" s="6"/>
      <c r="M14" s="6"/>
      <c r="S14" s="9"/>
      <c r="T14" s="9"/>
    </row>
    <row r="15" spans="1:20" ht="18.600000000000001">
      <c r="A15" s="8" t="s">
        <v>3</v>
      </c>
      <c r="B15" s="7" t="s">
        <v>26</v>
      </c>
      <c r="C15" s="8" t="s">
        <v>18</v>
      </c>
      <c r="D15" s="7" t="s">
        <v>20</v>
      </c>
      <c r="E15" s="8" t="s">
        <v>19</v>
      </c>
      <c r="G15" s="8" t="s">
        <v>3</v>
      </c>
      <c r="H15" s="7" t="s">
        <v>21</v>
      </c>
      <c r="I15" s="8" t="s">
        <v>6</v>
      </c>
      <c r="J15" s="8" t="s">
        <v>7</v>
      </c>
      <c r="K15" s="7" t="s">
        <v>22</v>
      </c>
      <c r="S15" s="9"/>
      <c r="T15" s="9"/>
    </row>
    <row r="16" spans="1:20" ht="15">
      <c r="A16" s="8">
        <v>1</v>
      </c>
      <c r="B16" s="15">
        <v>55.4</v>
      </c>
      <c r="C16" s="15">
        <v>430.9</v>
      </c>
      <c r="D16" s="15">
        <f>POWER(C16,2)</f>
        <v>185674.80999999997</v>
      </c>
      <c r="E16" s="15">
        <v>16.100000000000001</v>
      </c>
      <c r="G16" s="8">
        <v>1</v>
      </c>
      <c r="H16" s="14">
        <v>1224</v>
      </c>
      <c r="I16" s="12">
        <v>151.9</v>
      </c>
      <c r="J16" s="15">
        <v>72.3</v>
      </c>
      <c r="K16" s="14">
        <f>POWER(H16,2)</f>
        <v>1498176</v>
      </c>
      <c r="S16" s="9"/>
      <c r="T16" s="9"/>
    </row>
    <row r="17" spans="1:20" ht="15">
      <c r="A17" s="8">
        <v>2</v>
      </c>
      <c r="B17" s="15">
        <v>51.4</v>
      </c>
      <c r="C17" s="15">
        <v>420.3</v>
      </c>
      <c r="D17" s="15">
        <f t="shared" ref="D17:D25" si="0">POWER(C17,2)</f>
        <v>176652.09</v>
      </c>
      <c r="E17" s="15">
        <v>15.3</v>
      </c>
      <c r="G17" s="8">
        <v>2</v>
      </c>
      <c r="H17" s="14">
        <v>1008</v>
      </c>
      <c r="I17" s="15">
        <v>104.8</v>
      </c>
      <c r="J17" s="15">
        <v>60.4</v>
      </c>
      <c r="K17" s="14">
        <f>POWER(H17,2)</f>
        <v>1016064</v>
      </c>
      <c r="S17" s="9"/>
      <c r="T17" s="9"/>
    </row>
    <row r="18" spans="1:20" ht="15">
      <c r="A18" s="8">
        <v>3</v>
      </c>
      <c r="B18" s="15">
        <v>45.1</v>
      </c>
      <c r="C18" s="15">
        <v>399.8</v>
      </c>
      <c r="D18" s="15">
        <f t="shared" si="0"/>
        <v>159840.04</v>
      </c>
      <c r="E18" s="15">
        <v>14</v>
      </c>
      <c r="G18" s="8">
        <v>3</v>
      </c>
      <c r="H18" s="14">
        <v>800</v>
      </c>
      <c r="I18" s="13">
        <v>66.3</v>
      </c>
      <c r="J18" s="15">
        <v>48.2</v>
      </c>
      <c r="K18" s="14">
        <f>POWER(H18,2)</f>
        <v>640000</v>
      </c>
      <c r="S18" s="9"/>
      <c r="T18" s="9"/>
    </row>
    <row r="19" spans="1:20" ht="15">
      <c r="A19" s="8">
        <v>4</v>
      </c>
      <c r="B19" s="15">
        <v>40</v>
      </c>
      <c r="C19" s="15">
        <v>380</v>
      </c>
      <c r="D19" s="15">
        <f t="shared" si="0"/>
        <v>144400</v>
      </c>
      <c r="E19" s="15">
        <v>12.7</v>
      </c>
      <c r="G19" s="8">
        <v>4</v>
      </c>
      <c r="H19" s="14">
        <v>606</v>
      </c>
      <c r="I19" s="15">
        <v>38.5</v>
      </c>
      <c r="J19" s="15">
        <v>36.9</v>
      </c>
      <c r="K19" s="14">
        <f>POWER(H19,2)</f>
        <v>367236</v>
      </c>
      <c r="S19" s="9"/>
      <c r="T19" s="9"/>
    </row>
    <row r="20" spans="1:20" ht="15">
      <c r="A20" s="8">
        <v>5</v>
      </c>
      <c r="B20" s="15">
        <v>35.6</v>
      </c>
      <c r="C20" s="15">
        <v>360.3</v>
      </c>
      <c r="D20" s="15">
        <f t="shared" si="0"/>
        <v>129816.09000000001</v>
      </c>
      <c r="E20" s="15">
        <v>11.6</v>
      </c>
      <c r="G20" s="8">
        <v>5</v>
      </c>
      <c r="H20" s="14">
        <v>395</v>
      </c>
      <c r="I20" s="15">
        <v>16.399999999999999</v>
      </c>
      <c r="J20" s="15">
        <v>24</v>
      </c>
      <c r="K20" s="14">
        <f>POWER(H20,2)</f>
        <v>156025</v>
      </c>
      <c r="S20" s="9"/>
      <c r="T20" s="9"/>
    </row>
    <row r="21" spans="1:20" ht="15">
      <c r="A21" s="8">
        <v>6</v>
      </c>
      <c r="B21" s="15">
        <v>31.4</v>
      </c>
      <c r="C21" s="15">
        <v>340.2</v>
      </c>
      <c r="D21" s="15">
        <f t="shared" si="0"/>
        <v>115736.04</v>
      </c>
      <c r="E21" s="15">
        <v>10.4</v>
      </c>
      <c r="J21" s="9"/>
      <c r="K21" s="9"/>
      <c r="L21" s="16"/>
      <c r="M21" s="9"/>
      <c r="N21" s="16"/>
      <c r="O21" s="17"/>
      <c r="P21" s="17"/>
      <c r="Q21" s="9"/>
      <c r="S21" s="9"/>
      <c r="T21" s="9"/>
    </row>
    <row r="22" spans="1:20" ht="15">
      <c r="A22" s="8">
        <v>7</v>
      </c>
      <c r="B22" s="15">
        <v>27.8</v>
      </c>
      <c r="C22" s="15">
        <v>288.8</v>
      </c>
      <c r="D22" s="15">
        <f t="shared" si="0"/>
        <v>83405.440000000002</v>
      </c>
      <c r="E22" s="15">
        <v>7.8</v>
      </c>
      <c r="N22" s="9"/>
      <c r="O22" s="9"/>
      <c r="P22" s="9"/>
      <c r="Q22" s="9"/>
      <c r="R22" s="9"/>
      <c r="S22" s="9"/>
      <c r="T22" s="9"/>
    </row>
    <row r="23" spans="1:20" ht="15.6">
      <c r="A23" s="8">
        <v>8</v>
      </c>
      <c r="B23" s="15">
        <v>20.399999999999999</v>
      </c>
      <c r="C23" s="15">
        <v>240</v>
      </c>
      <c r="D23" s="15">
        <f t="shared" si="0"/>
        <v>57600</v>
      </c>
      <c r="E23" s="15">
        <v>5.7</v>
      </c>
      <c r="N23" s="6"/>
      <c r="O23" s="6"/>
      <c r="P23" s="6"/>
      <c r="Q23" s="6"/>
      <c r="R23" s="6"/>
      <c r="S23" s="6"/>
      <c r="T23" s="6"/>
    </row>
    <row r="24" spans="1:20" ht="15">
      <c r="A24" s="8">
        <v>9</v>
      </c>
      <c r="B24" s="15">
        <v>17.7</v>
      </c>
      <c r="C24" s="15">
        <v>199.4</v>
      </c>
      <c r="D24" s="15">
        <f t="shared" si="0"/>
        <v>39760.36</v>
      </c>
      <c r="E24" s="15">
        <v>4.0999999999999996</v>
      </c>
      <c r="N24" s="9"/>
      <c r="P24" s="9"/>
      <c r="Q24" s="9"/>
      <c r="R24" s="9"/>
      <c r="S24" s="9"/>
      <c r="T24" s="9"/>
    </row>
    <row r="25" spans="1:20" ht="15">
      <c r="A25" s="8">
        <v>10</v>
      </c>
      <c r="B25" s="15">
        <v>15.1</v>
      </c>
      <c r="C25" s="15">
        <v>162.4</v>
      </c>
      <c r="D25" s="15">
        <f t="shared" si="0"/>
        <v>26373.760000000002</v>
      </c>
      <c r="E25" s="15">
        <v>2.9</v>
      </c>
      <c r="N25" s="9"/>
      <c r="P25" s="9"/>
      <c r="Q25" s="9"/>
      <c r="R25" s="9"/>
      <c r="S25" s="9"/>
      <c r="T25" s="9"/>
    </row>
    <row r="26" spans="1:20" ht="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</sheetData>
  <mergeCells count="10">
    <mergeCell ref="A1:N1"/>
    <mergeCell ref="A14:E14"/>
    <mergeCell ref="G14:K14"/>
    <mergeCell ref="A7:C7"/>
    <mergeCell ref="A11:C11"/>
    <mergeCell ref="A3:B3"/>
    <mergeCell ref="A5:B5"/>
    <mergeCell ref="A6:B6"/>
    <mergeCell ref="A9:B9"/>
    <mergeCell ref="A10:B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Trasformatore</vt:lpstr>
    </vt:vector>
  </TitlesOfParts>
  <Company>D.E.E. Politecnico di Bari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Giacomo Spinelli</dc:creator>
  <cp:lastModifiedBy>DI SPIRITO DANIELE</cp:lastModifiedBy>
  <cp:lastPrinted>2003-06-19T14:42:53Z</cp:lastPrinted>
  <dcterms:created xsi:type="dcterms:W3CDTF">2001-01-17T11:59:13Z</dcterms:created>
  <dcterms:modified xsi:type="dcterms:W3CDTF">2026-05-19T08:46:17Z</dcterms:modified>
</cp:coreProperties>
</file>