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ie\uni\terzo_anno\macchine\"/>
    </mc:Choice>
  </mc:AlternateContent>
  <xr:revisionPtr revIDLastSave="0" documentId="8_{23D0A32E-2924-40CE-8F8C-950FC64BE8B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rafo" sheetId="10" r:id="rId1"/>
    <sheet name="Sincrono" sheetId="8" r:id="rId2"/>
    <sheet name="Corrente continua" sheetId="6" r:id="rId3"/>
    <sheet name="Asincrono" sheetId="1" r:id="rId4"/>
    <sheet name="Corrente continua (dati)" sheetId="7" r:id="rId5"/>
  </sheets>
  <definedNames>
    <definedName name="_xlnm.Print_Area" localSheetId="3">Asincrono!$B$1:$N$31</definedName>
    <definedName name="_xlnm.Print_Area" localSheetId="2">'Corrente continua'!$A$1:$L$23</definedName>
    <definedName name="_xlnm.Print_Area" localSheetId="4">'Corrente continua (dati)'!$A$1:$L$27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0" l="1"/>
  <c r="K20" i="10"/>
  <c r="K19" i="10"/>
  <c r="K18" i="10"/>
  <c r="K16" i="10"/>
  <c r="D25" i="10"/>
  <c r="D24" i="10"/>
  <c r="D23" i="10"/>
  <c r="D22" i="10"/>
  <c r="D21" i="10"/>
  <c r="D20" i="10"/>
  <c r="D19" i="10"/>
  <c r="D18" i="10"/>
  <c r="D17" i="10"/>
  <c r="D16" i="10"/>
  <c r="M10" i="10"/>
  <c r="M9" i="10"/>
  <c r="M6" i="10"/>
  <c r="M5" i="10"/>
  <c r="N29" i="1"/>
  <c r="N5" i="1"/>
  <c r="L16" i="1"/>
  <c r="L15" i="1"/>
  <c r="L14" i="1"/>
  <c r="L13" i="1"/>
  <c r="L12" i="1"/>
  <c r="F21" i="1"/>
  <c r="F20" i="1"/>
  <c r="F19" i="1"/>
  <c r="F18" i="1"/>
  <c r="F17" i="1"/>
  <c r="F16" i="1"/>
  <c r="F15" i="1"/>
  <c r="F14" i="1"/>
  <c r="F13" i="1"/>
  <c r="F12" i="1"/>
</calcChain>
</file>

<file path=xl/sharedStrings.xml><?xml version="1.0" encoding="utf-8"?>
<sst xmlns="http://schemas.openxmlformats.org/spreadsheetml/2006/main" count="156" uniqueCount="60">
  <si>
    <t>Temperatura ambiente</t>
  </si>
  <si>
    <t>°C</t>
  </si>
  <si>
    <t>Resistenza di statore</t>
  </si>
  <si>
    <t>Ω</t>
  </si>
  <si>
    <r>
      <t>t</t>
    </r>
    <r>
      <rPr>
        <vertAlign val="subscript"/>
        <sz val="12"/>
        <rFont val="Arial"/>
        <family val="2"/>
      </rPr>
      <t xml:space="preserve">a </t>
    </r>
    <r>
      <rPr>
        <sz val="12"/>
        <rFont val="Arial"/>
        <family val="2"/>
      </rPr>
      <t>=</t>
    </r>
  </si>
  <si>
    <t>N</t>
  </si>
  <si>
    <r>
      <t>P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 xml:space="preserve"> [W]</t>
    </r>
  </si>
  <si>
    <r>
      <t>I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 xml:space="preserve"> [A]</t>
    </r>
  </si>
  <si>
    <r>
      <t>V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 xml:space="preserve"> [V]</t>
    </r>
  </si>
  <si>
    <t>PROVA A VUOTO</t>
  </si>
  <si>
    <t>PROVA IN CORTO CIRCUITO</t>
  </si>
  <si>
    <r>
      <t>P</t>
    </r>
    <r>
      <rPr>
        <vertAlign val="subscript"/>
        <sz val="12"/>
        <rFont val="Arial"/>
        <family val="2"/>
      </rPr>
      <t>cc</t>
    </r>
    <r>
      <rPr>
        <sz val="12"/>
        <rFont val="Arial"/>
        <family val="2"/>
      </rPr>
      <t xml:space="preserve"> [W]</t>
    </r>
  </si>
  <si>
    <r>
      <t>I</t>
    </r>
    <r>
      <rPr>
        <vertAlign val="subscript"/>
        <sz val="12"/>
        <rFont val="Arial"/>
        <family val="2"/>
      </rPr>
      <t>cc</t>
    </r>
    <r>
      <rPr>
        <sz val="12"/>
        <rFont val="Arial"/>
        <family val="2"/>
      </rPr>
      <t xml:space="preserve"> [A]</t>
    </r>
  </si>
  <si>
    <r>
      <t>V</t>
    </r>
    <r>
      <rPr>
        <vertAlign val="subscript"/>
        <sz val="12"/>
        <rFont val="Arial"/>
        <family val="2"/>
      </rPr>
      <t>cc</t>
    </r>
    <r>
      <rPr>
        <sz val="12"/>
        <rFont val="Arial"/>
        <family val="2"/>
      </rPr>
      <t xml:space="preserve"> [V]</t>
    </r>
  </si>
  <si>
    <t>(macchina fredda)</t>
  </si>
  <si>
    <t>(macchina calda)</t>
  </si>
  <si>
    <t>PROVE SUL MOTORE ASINCRONO</t>
  </si>
  <si>
    <t>PROVA A CARICO</t>
  </si>
  <si>
    <r>
      <t>P</t>
    </r>
    <r>
      <rPr>
        <vertAlign val="subscript"/>
        <sz val="12"/>
        <rFont val="Arial"/>
        <family val="2"/>
      </rPr>
      <t>c</t>
    </r>
    <r>
      <rPr>
        <sz val="12"/>
        <rFont val="Arial"/>
        <family val="2"/>
      </rPr>
      <t xml:space="preserve"> [W]</t>
    </r>
  </si>
  <si>
    <r>
      <t>I</t>
    </r>
    <r>
      <rPr>
        <vertAlign val="subscript"/>
        <sz val="12"/>
        <rFont val="Arial"/>
        <family val="2"/>
      </rPr>
      <t>c</t>
    </r>
    <r>
      <rPr>
        <sz val="12"/>
        <rFont val="Arial"/>
        <family val="2"/>
      </rPr>
      <t xml:space="preserve"> [A]</t>
    </r>
  </si>
  <si>
    <r>
      <t>V</t>
    </r>
    <r>
      <rPr>
        <vertAlign val="subscript"/>
        <sz val="12"/>
        <rFont val="Arial"/>
        <family val="2"/>
      </rPr>
      <t>c</t>
    </r>
    <r>
      <rPr>
        <sz val="12"/>
        <rFont val="Arial"/>
        <family val="2"/>
      </rPr>
      <t xml:space="preserve"> [V]</t>
    </r>
  </si>
  <si>
    <t>n [g/min]</t>
  </si>
  <si>
    <t>b [m]</t>
  </si>
  <si>
    <t>p [N]</t>
  </si>
  <si>
    <t>fase R =</t>
  </si>
  <si>
    <t>fase S =</t>
  </si>
  <si>
    <t>fase T =</t>
  </si>
  <si>
    <t>Ia [A]</t>
  </si>
  <si>
    <t>CARATTERISTICA ESTERNA</t>
  </si>
  <si>
    <t>CARATTERISTICA DI REGOLAZIONE</t>
  </si>
  <si>
    <t>velocità</t>
  </si>
  <si>
    <t>If</t>
  </si>
  <si>
    <t>[giri/min]</t>
  </si>
  <si>
    <t>Va</t>
  </si>
  <si>
    <t>[V]</t>
  </si>
  <si>
    <t>Va [V]</t>
  </si>
  <si>
    <t>PROVE SULLA MACCHINA IN CORRENTE CONTINUA</t>
  </si>
  <si>
    <t>If [mA]</t>
  </si>
  <si>
    <t>Ra</t>
  </si>
  <si>
    <r>
      <t>[</t>
    </r>
    <r>
      <rPr>
        <sz val="12"/>
        <rFont val="Symbol"/>
        <family val="1"/>
        <charset val="2"/>
      </rPr>
      <t>W</t>
    </r>
    <r>
      <rPr>
        <sz val="12"/>
        <rFont val="Arial"/>
        <family val="2"/>
      </rPr>
      <t>]</t>
    </r>
  </si>
  <si>
    <t>Temperatura</t>
  </si>
  <si>
    <r>
      <t>[</t>
    </r>
    <r>
      <rPr>
        <sz val="12"/>
        <rFont val="Arial CE"/>
        <family val="2"/>
        <charset val="238"/>
      </rPr>
      <t>°C</t>
    </r>
    <r>
      <rPr>
        <sz val="12"/>
        <rFont val="Arial"/>
        <family val="2"/>
      </rPr>
      <t>]</t>
    </r>
  </si>
  <si>
    <t>[mA]</t>
  </si>
  <si>
    <r>
      <t>V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 xml:space="preserve"> ^2</t>
    </r>
  </si>
  <si>
    <r>
      <t>V</t>
    </r>
    <r>
      <rPr>
        <vertAlign val="subscript"/>
        <sz val="12"/>
        <rFont val="Arial"/>
        <family val="2"/>
      </rPr>
      <t>cc^2</t>
    </r>
  </si>
  <si>
    <t>Rs,f =</t>
  </si>
  <si>
    <t>Rs,c =</t>
  </si>
  <si>
    <t>PROVE SUL TRASFORMATORE</t>
  </si>
  <si>
    <t>Temp. ambiente</t>
  </si>
  <si>
    <t>Resistenza AT</t>
  </si>
  <si>
    <t>Resistenza BT</t>
  </si>
  <si>
    <r>
      <t>V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>[V]</t>
    </r>
  </si>
  <si>
    <r>
      <t>P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>[W]</t>
    </r>
  </si>
  <si>
    <r>
      <t>V</t>
    </r>
    <r>
      <rPr>
        <vertAlign val="subscript"/>
        <sz val="12"/>
        <rFont val="Arial"/>
        <family val="2"/>
      </rPr>
      <t>0^2</t>
    </r>
    <r>
      <rPr>
        <sz val="12"/>
        <rFont val="Arial"/>
        <family val="2"/>
      </rPr>
      <t>[V^2]</t>
    </r>
  </si>
  <si>
    <r>
      <t>I</t>
    </r>
    <r>
      <rPr>
        <vertAlign val="subscript"/>
        <sz val="12"/>
        <rFont val="Arial"/>
        <family val="2"/>
      </rPr>
      <t>cc</t>
    </r>
    <r>
      <rPr>
        <sz val="12"/>
        <rFont val="Arial"/>
        <family val="2"/>
      </rPr>
      <t xml:space="preserve"> [mA]</t>
    </r>
  </si>
  <si>
    <r>
      <t>I</t>
    </r>
    <r>
      <rPr>
        <vertAlign val="subscript"/>
        <sz val="12"/>
        <rFont val="Arial"/>
        <family val="2"/>
      </rPr>
      <t>cc^2</t>
    </r>
  </si>
  <si>
    <t>Frequenza</t>
  </si>
  <si>
    <t>Hz</t>
  </si>
  <si>
    <t>f =</t>
  </si>
  <si>
    <r>
      <t>I</t>
    </r>
    <r>
      <rPr>
        <vertAlign val="subscript"/>
        <sz val="12"/>
        <rFont val="Arial"/>
        <family val="2"/>
      </rPr>
      <t>0</t>
    </r>
    <r>
      <rPr>
        <sz val="12"/>
        <rFont val="Arial"/>
        <family val="2"/>
      </rPr>
      <t>[mA]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</si>
</sst>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>
    <font>
      <sz val="9"/>
      <name val="Geneva"/>
    </font>
    <font>
      <sz val="12"/>
      <name val="Arial"/>
      <family val="2"/>
    </font>
    <font>
      <vertAlign val="subscript"/>
      <sz val="12"/>
      <name val="Arial"/>
      <family val="2"/>
    </font>
    <font>
      <b/>
      <sz val="12"/>
      <name val="Arial"/>
      <family val="2"/>
    </font>
    <font>
      <b/>
      <u/>
      <sz val="14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2"/>
      <name val="Symbol"/>
      <family val="1"/>
      <charset val="2"/>
    </font>
    <font>
      <sz val="12"/>
      <name val="Arial CE"/>
      <family val="2"/>
      <charset val="238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5" fillId="0" borderId="0" xfId="0" applyFont="1"/>
    <xf numFmtId="0" fontId="5" fillId="0" borderId="1" xfId="0" applyFont="1" applyBorder="1" applyAlignment="1">
      <alignment horizontal="right"/>
    </xf>
    <xf numFmtId="0" fontId="5" fillId="0" borderId="1" xfId="0" applyFont="1" applyBorder="1"/>
    <xf numFmtId="0" fontId="5" fillId="0" borderId="0" xfId="0" applyFont="1" applyAlignment="1">
      <alignment horizontal="right"/>
    </xf>
    <xf numFmtId="0" fontId="7" fillId="0" borderId="0" xfId="0" applyFont="1"/>
    <xf numFmtId="164" fontId="1" fillId="0" borderId="1" xfId="0" applyNumberFormat="1" applyFont="1" applyBorder="1"/>
    <xf numFmtId="165" fontId="1" fillId="0" borderId="1" xfId="0" applyNumberFormat="1" applyFont="1" applyBorder="1"/>
    <xf numFmtId="2" fontId="1" fillId="0" borderId="1" xfId="0" applyNumberFormat="1" applyFont="1" applyBorder="1"/>
    <xf numFmtId="164" fontId="5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2" borderId="0" xfId="0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2" fontId="1" fillId="0" borderId="0" xfId="0" applyNumberFormat="1" applyFont="1"/>
    <xf numFmtId="0" fontId="3" fillId="0" borderId="0" xfId="0" applyFont="1" applyAlignment="1">
      <alignment horizont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5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Trafo!$I$15</c:f>
              <c:strCache>
                <c:ptCount val="1"/>
                <c:pt idx="0">
                  <c:v>Pcc [W]</c:v>
                </c:pt>
              </c:strCache>
            </c:strRef>
          </c:tx>
          <c:trendline>
            <c:trendlineType val="power"/>
            <c:dispRSqr val="0"/>
            <c:dispEq val="1"/>
            <c:trendlineLbl>
              <c:numFmt formatCode="General" sourceLinked="0"/>
            </c:trendlineLbl>
          </c:trendline>
          <c:xVal>
            <c:numRef>
              <c:f>Trafo!$H$16:$H$20</c:f>
              <c:numCache>
                <c:formatCode>0</c:formatCode>
                <c:ptCount val="5"/>
                <c:pt idx="0">
                  <c:v>1224</c:v>
                </c:pt>
                <c:pt idx="1">
                  <c:v>1008</c:v>
                </c:pt>
                <c:pt idx="2">
                  <c:v>800</c:v>
                </c:pt>
                <c:pt idx="3">
                  <c:v>606</c:v>
                </c:pt>
                <c:pt idx="4">
                  <c:v>395</c:v>
                </c:pt>
              </c:numCache>
            </c:numRef>
          </c:xVal>
          <c:yVal>
            <c:numRef>
              <c:f>Trafo!$I$16:$I$20</c:f>
              <c:numCache>
                <c:formatCode>0.0</c:formatCode>
                <c:ptCount val="5"/>
                <c:pt idx="0" formatCode="0.00">
                  <c:v>151.9</c:v>
                </c:pt>
                <c:pt idx="1">
                  <c:v>104.8</c:v>
                </c:pt>
                <c:pt idx="2" formatCode="General">
                  <c:v>66.3</c:v>
                </c:pt>
                <c:pt idx="3">
                  <c:v>38.5</c:v>
                </c:pt>
                <c:pt idx="4">
                  <c:v>16.399999999999999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B2-4BDB-B42D-2F2EA5101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78624"/>
        <c:axId val="73980544"/>
      </c:scatterChart>
      <c:valAx>
        <c:axId val="73978624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Icc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73980544"/>
        <c:crosses val="autoZero"/>
        <c:crossBetween val="midCat"/>
      </c:valAx>
      <c:valAx>
        <c:axId val="73980544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Pcc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39786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Trafo!$H$16:$H$20</c:f>
              <c:strCache>
                <c:ptCount val="5"/>
                <c:pt idx="0">
                  <c:v>1224</c:v>
                </c:pt>
                <c:pt idx="1">
                  <c:v>1008</c:v>
                </c:pt>
                <c:pt idx="2">
                  <c:v>800</c:v>
                </c:pt>
                <c:pt idx="3">
                  <c:v>606</c:v>
                </c:pt>
                <c:pt idx="4">
                  <c:v>395</c:v>
                </c:pt>
              </c:strCache>
            </c:strRef>
          </c:tx>
          <c:trendline>
            <c:trendlineType val="linear"/>
            <c:intercept val="0"/>
            <c:dispRSqr val="0"/>
            <c:dispEq val="1"/>
            <c:trendlineLbl>
              <c:numFmt formatCode="General" sourceLinked="0"/>
            </c:trendlineLbl>
          </c:trendline>
          <c:xVal>
            <c:numRef>
              <c:f>Trafo!$H$16:$H$20</c:f>
              <c:numCache>
                <c:formatCode>0</c:formatCode>
                <c:ptCount val="5"/>
                <c:pt idx="0">
                  <c:v>1224</c:v>
                </c:pt>
                <c:pt idx="1">
                  <c:v>1008</c:v>
                </c:pt>
                <c:pt idx="2">
                  <c:v>800</c:v>
                </c:pt>
                <c:pt idx="3">
                  <c:v>606</c:v>
                </c:pt>
                <c:pt idx="4">
                  <c:v>395</c:v>
                </c:pt>
              </c:numCache>
            </c:numRef>
          </c:xVal>
          <c:yVal>
            <c:numRef>
              <c:f>Trafo!$J$16:$J$20</c:f>
              <c:numCache>
                <c:formatCode>0.0</c:formatCode>
                <c:ptCount val="5"/>
                <c:pt idx="0">
                  <c:v>72.3</c:v>
                </c:pt>
                <c:pt idx="1">
                  <c:v>60.4</c:v>
                </c:pt>
                <c:pt idx="2">
                  <c:v>48.2</c:v>
                </c:pt>
                <c:pt idx="3">
                  <c:v>36.9</c:v>
                </c:pt>
                <c:pt idx="4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BD-4AB3-AB7F-D8AF3B404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3312"/>
        <c:axId val="74044160"/>
      </c:scatterChart>
      <c:valAx>
        <c:axId val="74013312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Icc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74044160"/>
        <c:crosses val="autoZero"/>
        <c:crossBetween val="midCat"/>
      </c:valAx>
      <c:valAx>
        <c:axId val="74044160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Vcc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740133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inear"/>
            <c:intercept val="0"/>
            <c:dispRSqr val="0"/>
            <c:dispEq val="1"/>
            <c:trendlineLbl>
              <c:numFmt formatCode="General" sourceLinked="0"/>
            </c:trendlineLbl>
          </c:trendline>
          <c:xVal>
            <c:numRef>
              <c:f>Trafo!$K$16:$K$20</c:f>
              <c:numCache>
                <c:formatCode>0</c:formatCode>
                <c:ptCount val="5"/>
                <c:pt idx="0">
                  <c:v>1498176</c:v>
                </c:pt>
                <c:pt idx="1">
                  <c:v>1016064</c:v>
                </c:pt>
                <c:pt idx="2">
                  <c:v>640000</c:v>
                </c:pt>
                <c:pt idx="3">
                  <c:v>367236</c:v>
                </c:pt>
                <c:pt idx="4">
                  <c:v>156025</c:v>
                </c:pt>
              </c:numCache>
            </c:numRef>
          </c:xVal>
          <c:yVal>
            <c:numRef>
              <c:f>Trafo!$I$16:$I$20</c:f>
              <c:numCache>
                <c:formatCode>0.0</c:formatCode>
                <c:ptCount val="5"/>
                <c:pt idx="0" formatCode="0.00">
                  <c:v>151.9</c:v>
                </c:pt>
                <c:pt idx="1">
                  <c:v>104.8</c:v>
                </c:pt>
                <c:pt idx="2" formatCode="General">
                  <c:v>66.3</c:v>
                </c:pt>
                <c:pt idx="3">
                  <c:v>38.5</c:v>
                </c:pt>
                <c:pt idx="4">
                  <c:v>16.399999999999999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B9-4259-9AB2-2282C0CF6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61952"/>
        <c:axId val="74463872"/>
      </c:scatterChart>
      <c:valAx>
        <c:axId val="74461952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Icc^2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74463872"/>
        <c:crosses val="autoZero"/>
        <c:crossBetween val="midCat"/>
      </c:valAx>
      <c:valAx>
        <c:axId val="74463872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Pcc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446195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og"/>
            <c:dispRSqr val="0"/>
            <c:dispEq val="1"/>
            <c:trendlineLbl>
              <c:numFmt formatCode="General" sourceLinked="0"/>
            </c:trendlineLbl>
          </c:trendline>
          <c:xVal>
            <c:numRef>
              <c:f>Trafo!$B$16:$B$25</c:f>
              <c:numCache>
                <c:formatCode>0.0</c:formatCode>
                <c:ptCount val="10"/>
                <c:pt idx="0">
                  <c:v>55.4</c:v>
                </c:pt>
                <c:pt idx="1">
                  <c:v>51.4</c:v>
                </c:pt>
                <c:pt idx="2">
                  <c:v>45.1</c:v>
                </c:pt>
                <c:pt idx="3">
                  <c:v>40</c:v>
                </c:pt>
                <c:pt idx="4">
                  <c:v>35.6</c:v>
                </c:pt>
                <c:pt idx="5">
                  <c:v>31.4</c:v>
                </c:pt>
                <c:pt idx="6">
                  <c:v>27.8</c:v>
                </c:pt>
                <c:pt idx="7">
                  <c:v>20.399999999999999</c:v>
                </c:pt>
                <c:pt idx="8">
                  <c:v>17.7</c:v>
                </c:pt>
                <c:pt idx="9">
                  <c:v>15.1</c:v>
                </c:pt>
              </c:numCache>
            </c:numRef>
          </c:xVal>
          <c:yVal>
            <c:numRef>
              <c:f>Trafo!$C$16:$C$25</c:f>
              <c:numCache>
                <c:formatCode>0.0</c:formatCode>
                <c:ptCount val="10"/>
                <c:pt idx="0">
                  <c:v>430.9</c:v>
                </c:pt>
                <c:pt idx="1">
                  <c:v>420.3</c:v>
                </c:pt>
                <c:pt idx="2">
                  <c:v>399.8</c:v>
                </c:pt>
                <c:pt idx="3">
                  <c:v>380</c:v>
                </c:pt>
                <c:pt idx="4">
                  <c:v>360.3</c:v>
                </c:pt>
                <c:pt idx="5">
                  <c:v>340.2</c:v>
                </c:pt>
                <c:pt idx="6">
                  <c:v>288.8</c:v>
                </c:pt>
                <c:pt idx="7">
                  <c:v>240</c:v>
                </c:pt>
                <c:pt idx="8">
                  <c:v>199.4</c:v>
                </c:pt>
                <c:pt idx="9">
                  <c:v>162.4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D3-4F87-84B1-F9A373955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08928"/>
        <c:axId val="85197568"/>
      </c:scatterChart>
      <c:valAx>
        <c:axId val="74508928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Io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85197568"/>
        <c:crosses val="autoZero"/>
        <c:crossBetween val="midCat"/>
      </c:valAx>
      <c:valAx>
        <c:axId val="85197568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745089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power"/>
            <c:dispRSqr val="0"/>
            <c:dispEq val="0"/>
          </c:trendline>
          <c:trendline>
            <c:trendlineType val="power"/>
            <c:dispRSqr val="0"/>
            <c:dispEq val="1"/>
            <c:trendlineLbl>
              <c:numFmt formatCode="General" sourceLinked="0"/>
            </c:trendlineLbl>
          </c:trendline>
          <c:xVal>
            <c:numRef>
              <c:f>Trafo!$C$16:$C$25</c:f>
              <c:numCache>
                <c:formatCode>0.0</c:formatCode>
                <c:ptCount val="10"/>
                <c:pt idx="0">
                  <c:v>430.9</c:v>
                </c:pt>
                <c:pt idx="1">
                  <c:v>420.3</c:v>
                </c:pt>
                <c:pt idx="2">
                  <c:v>399.8</c:v>
                </c:pt>
                <c:pt idx="3">
                  <c:v>380</c:v>
                </c:pt>
                <c:pt idx="4">
                  <c:v>360.3</c:v>
                </c:pt>
                <c:pt idx="5">
                  <c:v>340.2</c:v>
                </c:pt>
                <c:pt idx="6">
                  <c:v>288.8</c:v>
                </c:pt>
                <c:pt idx="7">
                  <c:v>240</c:v>
                </c:pt>
                <c:pt idx="8">
                  <c:v>199.4</c:v>
                </c:pt>
                <c:pt idx="9">
                  <c:v>162.4</c:v>
                </c:pt>
              </c:numCache>
            </c:numRef>
          </c:xVal>
          <c:yVal>
            <c:numRef>
              <c:f>Trafo!$E$16:$E$25</c:f>
              <c:numCache>
                <c:formatCode>0.0</c:formatCode>
                <c:ptCount val="10"/>
                <c:pt idx="0">
                  <c:v>16.100000000000001</c:v>
                </c:pt>
                <c:pt idx="1">
                  <c:v>15.3</c:v>
                </c:pt>
                <c:pt idx="2">
                  <c:v>14</c:v>
                </c:pt>
                <c:pt idx="3">
                  <c:v>12.7</c:v>
                </c:pt>
                <c:pt idx="4">
                  <c:v>11.6</c:v>
                </c:pt>
                <c:pt idx="5">
                  <c:v>10.4</c:v>
                </c:pt>
                <c:pt idx="6">
                  <c:v>7.8</c:v>
                </c:pt>
                <c:pt idx="7">
                  <c:v>5.7</c:v>
                </c:pt>
                <c:pt idx="8">
                  <c:v>4.0999999999999996</c:v>
                </c:pt>
                <c:pt idx="9">
                  <c:v>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68-4F01-9B36-208B19001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222912"/>
        <c:axId val="85224832"/>
      </c:scatterChart>
      <c:valAx>
        <c:axId val="85222912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Vo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85224832"/>
        <c:crosses val="autoZero"/>
        <c:crossBetween val="midCat"/>
      </c:valAx>
      <c:valAx>
        <c:axId val="85224832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852229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inear"/>
            <c:intercept val="0"/>
            <c:dispRSqr val="0"/>
            <c:dispEq val="1"/>
            <c:trendlineLbl>
              <c:numFmt formatCode="General" sourceLinked="0"/>
            </c:trendlineLbl>
          </c:trendline>
          <c:xVal>
            <c:numRef>
              <c:f>Trafo!$D$16:$D$25</c:f>
              <c:numCache>
                <c:formatCode>0.0</c:formatCode>
                <c:ptCount val="10"/>
                <c:pt idx="0">
                  <c:v>185674.80999999997</c:v>
                </c:pt>
                <c:pt idx="1">
                  <c:v>176652.09</c:v>
                </c:pt>
                <c:pt idx="2">
                  <c:v>159840.04</c:v>
                </c:pt>
                <c:pt idx="3">
                  <c:v>144400</c:v>
                </c:pt>
                <c:pt idx="4">
                  <c:v>129816.09000000001</c:v>
                </c:pt>
                <c:pt idx="5">
                  <c:v>115736.04</c:v>
                </c:pt>
                <c:pt idx="6">
                  <c:v>83405.440000000002</c:v>
                </c:pt>
                <c:pt idx="7">
                  <c:v>57600</c:v>
                </c:pt>
                <c:pt idx="8">
                  <c:v>39760.36</c:v>
                </c:pt>
                <c:pt idx="9">
                  <c:v>26373.760000000002</c:v>
                </c:pt>
              </c:numCache>
            </c:numRef>
          </c:xVal>
          <c:yVal>
            <c:numRef>
              <c:f>Trafo!$E$16:$E$25</c:f>
              <c:numCache>
                <c:formatCode>0.0</c:formatCode>
                <c:ptCount val="10"/>
                <c:pt idx="0">
                  <c:v>16.100000000000001</c:v>
                </c:pt>
                <c:pt idx="1">
                  <c:v>15.3</c:v>
                </c:pt>
                <c:pt idx="2">
                  <c:v>14</c:v>
                </c:pt>
                <c:pt idx="3">
                  <c:v>12.7</c:v>
                </c:pt>
                <c:pt idx="4">
                  <c:v>11.6</c:v>
                </c:pt>
                <c:pt idx="5">
                  <c:v>10.4</c:v>
                </c:pt>
                <c:pt idx="6">
                  <c:v>7.8</c:v>
                </c:pt>
                <c:pt idx="7">
                  <c:v>5.7</c:v>
                </c:pt>
                <c:pt idx="8">
                  <c:v>4.0999999999999996</c:v>
                </c:pt>
                <c:pt idx="9">
                  <c:v>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0A-4296-832F-EDC7C9C5A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257600"/>
        <c:axId val="85272064"/>
      </c:scatterChart>
      <c:valAx>
        <c:axId val="85257600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Vo^2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85272064"/>
        <c:crosses val="autoZero"/>
        <c:crossBetween val="midCat"/>
      </c:valAx>
      <c:valAx>
        <c:axId val="85272064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852576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Asincrono!$D$12:$D$19</c:f>
              <c:numCache>
                <c:formatCode>0.00</c:formatCode>
                <c:ptCount val="8"/>
                <c:pt idx="0">
                  <c:v>2.2000000000000002</c:v>
                </c:pt>
                <c:pt idx="1">
                  <c:v>1.6</c:v>
                </c:pt>
                <c:pt idx="2">
                  <c:v>1.23</c:v>
                </c:pt>
                <c:pt idx="3">
                  <c:v>0.97</c:v>
                </c:pt>
                <c:pt idx="4">
                  <c:v>0.78</c:v>
                </c:pt>
                <c:pt idx="5">
                  <c:v>0.65</c:v>
                </c:pt>
                <c:pt idx="6">
                  <c:v>0.53</c:v>
                </c:pt>
                <c:pt idx="7">
                  <c:v>0.44</c:v>
                </c:pt>
              </c:numCache>
            </c:numRef>
          </c:xVal>
          <c:yVal>
            <c:numRef>
              <c:f>Asincrono!$E$12:$E$19</c:f>
              <c:numCache>
                <c:formatCode>General</c:formatCode>
                <c:ptCount val="8"/>
                <c:pt idx="0">
                  <c:v>420</c:v>
                </c:pt>
                <c:pt idx="1">
                  <c:v>380</c:v>
                </c:pt>
                <c:pt idx="2">
                  <c:v>340</c:v>
                </c:pt>
                <c:pt idx="3">
                  <c:v>300</c:v>
                </c:pt>
                <c:pt idx="4">
                  <c:v>260</c:v>
                </c:pt>
                <c:pt idx="5">
                  <c:v>220</c:v>
                </c:pt>
                <c:pt idx="6">
                  <c:v>180</c:v>
                </c:pt>
                <c:pt idx="7">
                  <c:v>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70-4555-8573-E1ABED7C8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47648"/>
        <c:axId val="90749568"/>
      </c:scatterChart>
      <c:valAx>
        <c:axId val="90747648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Corrente</a:t>
                </a:r>
                <a:r>
                  <a:rPr lang="it-IT" baseline="0"/>
                  <a:t> a vuoto meccanico [A]</a:t>
                </a:r>
                <a:endParaRPr lang="it-IT"/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749568"/>
        <c:crosses val="autoZero"/>
        <c:crossBetween val="midCat"/>
      </c:valAx>
      <c:valAx>
        <c:axId val="90749568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Tensione a vuoto meccanico [V]</a:t>
                </a:r>
              </a:p>
            </c:rich>
          </c:tx>
          <c:layout>
            <c:manualLayout>
              <c:xMode val="edge"/>
              <c:yMode val="edge"/>
              <c:x val="3.0555555555555561E-2"/>
              <c:y val="0.1077796004666084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907476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xVal>
            <c:numRef>
              <c:f>Asincrono!$E$12:$E$19</c:f>
              <c:numCache>
                <c:formatCode>General</c:formatCode>
                <c:ptCount val="8"/>
                <c:pt idx="0">
                  <c:v>420</c:v>
                </c:pt>
                <c:pt idx="1">
                  <c:v>380</c:v>
                </c:pt>
                <c:pt idx="2">
                  <c:v>340</c:v>
                </c:pt>
                <c:pt idx="3">
                  <c:v>300</c:v>
                </c:pt>
                <c:pt idx="4">
                  <c:v>260</c:v>
                </c:pt>
                <c:pt idx="5">
                  <c:v>220</c:v>
                </c:pt>
                <c:pt idx="6">
                  <c:v>180</c:v>
                </c:pt>
                <c:pt idx="7">
                  <c:v>140</c:v>
                </c:pt>
              </c:numCache>
            </c:numRef>
          </c:xVal>
          <c:yVal>
            <c:numRef>
              <c:f>Asincrono!$C$12:$C$19</c:f>
              <c:numCache>
                <c:formatCode>General</c:formatCode>
                <c:ptCount val="8"/>
                <c:pt idx="0">
                  <c:v>240</c:v>
                </c:pt>
                <c:pt idx="1">
                  <c:v>176</c:v>
                </c:pt>
                <c:pt idx="2">
                  <c:v>137</c:v>
                </c:pt>
                <c:pt idx="3">
                  <c:v>112</c:v>
                </c:pt>
                <c:pt idx="4">
                  <c:v>95</c:v>
                </c:pt>
                <c:pt idx="5">
                  <c:v>82</c:v>
                </c:pt>
                <c:pt idx="6">
                  <c:v>73</c:v>
                </c:pt>
                <c:pt idx="7">
                  <c:v>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07-4B5C-97EA-7A81B2CDE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76384"/>
        <c:axId val="90578304"/>
      </c:scatterChart>
      <c:valAx>
        <c:axId val="90576384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Tensione</a:t>
                </a:r>
                <a:r>
                  <a:rPr lang="it-IT" baseline="0"/>
                  <a:t> a vuoto meccanico [V]</a:t>
                </a:r>
                <a:endParaRPr lang="it-IT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578304"/>
        <c:crosses val="autoZero"/>
        <c:crossBetween val="midCat"/>
      </c:valAx>
      <c:valAx>
        <c:axId val="90578304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Potenza a vuoto [W]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05763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2"/>
          <c:order val="0"/>
          <c:xVal>
            <c:numRef>
              <c:f>Asincrono!$F$12:$F$19</c:f>
              <c:numCache>
                <c:formatCode>General</c:formatCode>
                <c:ptCount val="8"/>
                <c:pt idx="0">
                  <c:v>176400</c:v>
                </c:pt>
                <c:pt idx="1">
                  <c:v>144400</c:v>
                </c:pt>
                <c:pt idx="2">
                  <c:v>115600</c:v>
                </c:pt>
                <c:pt idx="3">
                  <c:v>90000</c:v>
                </c:pt>
                <c:pt idx="4">
                  <c:v>67600</c:v>
                </c:pt>
                <c:pt idx="5">
                  <c:v>48400</c:v>
                </c:pt>
                <c:pt idx="6">
                  <c:v>32400</c:v>
                </c:pt>
                <c:pt idx="7">
                  <c:v>19600</c:v>
                </c:pt>
              </c:numCache>
            </c:numRef>
          </c:xVal>
          <c:yVal>
            <c:numRef>
              <c:f>Asincrono!$C$12:$C$19</c:f>
              <c:numCache>
                <c:formatCode>General</c:formatCode>
                <c:ptCount val="8"/>
                <c:pt idx="0">
                  <c:v>240</c:v>
                </c:pt>
                <c:pt idx="1">
                  <c:v>176</c:v>
                </c:pt>
                <c:pt idx="2">
                  <c:v>137</c:v>
                </c:pt>
                <c:pt idx="3">
                  <c:v>112</c:v>
                </c:pt>
                <c:pt idx="4">
                  <c:v>95</c:v>
                </c:pt>
                <c:pt idx="5">
                  <c:v>82</c:v>
                </c:pt>
                <c:pt idx="6">
                  <c:v>73</c:v>
                </c:pt>
                <c:pt idx="7">
                  <c:v>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28-4CAD-868B-F2D24A740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614400"/>
        <c:axId val="90628864"/>
      </c:scatterChart>
      <c:valAx>
        <c:axId val="90614400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 algn="ctr" rtl="0">
                  <a:defRPr lang="it-IT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Quadrato tensione a vuoto meccanico [V^2]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628864"/>
        <c:crosses val="autoZero"/>
        <c:crossBetween val="midCat"/>
      </c:valAx>
      <c:valAx>
        <c:axId val="90628864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 algn="ctr" rtl="0">
                  <a:defRPr lang="it-IT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Potenza a vuoto [W]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06144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xVal>
            <c:numRef>
              <c:f>Asincrono!$J$12:$J$16</c:f>
              <c:numCache>
                <c:formatCode>0.00</c:formatCode>
                <c:ptCount val="5"/>
                <c:pt idx="0">
                  <c:v>2.97</c:v>
                </c:pt>
                <c:pt idx="1">
                  <c:v>2.4900000000000002</c:v>
                </c:pt>
                <c:pt idx="2">
                  <c:v>2.0299999999999998</c:v>
                </c:pt>
                <c:pt idx="3">
                  <c:v>1.51</c:v>
                </c:pt>
                <c:pt idx="4">
                  <c:v>1.03</c:v>
                </c:pt>
              </c:numCache>
            </c:numRef>
          </c:xVal>
          <c:yVal>
            <c:numRef>
              <c:f>Asincrono!$K$12:$K$16</c:f>
              <c:numCache>
                <c:formatCode>0.0</c:formatCode>
                <c:ptCount val="5"/>
                <c:pt idx="0">
                  <c:v>81</c:v>
                </c:pt>
                <c:pt idx="1">
                  <c:v>69.8</c:v>
                </c:pt>
                <c:pt idx="2">
                  <c:v>57.2</c:v>
                </c:pt>
                <c:pt idx="3">
                  <c:v>43.6</c:v>
                </c:pt>
                <c:pt idx="4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BD-4EC6-B8D8-1D73E2C5F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83744"/>
        <c:axId val="90785664"/>
      </c:scatterChart>
      <c:valAx>
        <c:axId val="90783744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Corrente</a:t>
                </a:r>
                <a:r>
                  <a:rPr lang="it-IT" baseline="0"/>
                  <a:t> a rotore bloccato [A]</a:t>
                </a:r>
                <a:endParaRPr lang="it-IT"/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785664"/>
        <c:crosses val="autoZero"/>
        <c:crossBetween val="midCat"/>
      </c:valAx>
      <c:valAx>
        <c:axId val="90785664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Tensione a rotore bloccato [V]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907837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Asincrono!$K$12:$K$16</c:f>
              <c:numCache>
                <c:formatCode>0.0</c:formatCode>
                <c:ptCount val="5"/>
                <c:pt idx="0">
                  <c:v>81</c:v>
                </c:pt>
                <c:pt idx="1">
                  <c:v>69.8</c:v>
                </c:pt>
                <c:pt idx="2">
                  <c:v>57.2</c:v>
                </c:pt>
                <c:pt idx="3">
                  <c:v>43.6</c:v>
                </c:pt>
                <c:pt idx="4">
                  <c:v>30</c:v>
                </c:pt>
              </c:numCache>
            </c:numRef>
          </c:xVal>
          <c:yVal>
            <c:numRef>
              <c:f>Asincrono!$I$12:$I$16</c:f>
              <c:numCache>
                <c:formatCode>0.0</c:formatCode>
                <c:ptCount val="5"/>
                <c:pt idx="0">
                  <c:v>313</c:v>
                </c:pt>
                <c:pt idx="1">
                  <c:v>226</c:v>
                </c:pt>
                <c:pt idx="2">
                  <c:v>149</c:v>
                </c:pt>
                <c:pt idx="3">
                  <c:v>83</c:v>
                </c:pt>
                <c:pt idx="4">
                  <c:v>37.6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68B-4DFA-9DE3-2BBE5FB82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01280"/>
        <c:axId val="90803200"/>
      </c:scatterChart>
      <c:valAx>
        <c:axId val="90801280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Tensione a rotore bloccato [V]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803200"/>
        <c:crosses val="autoZero"/>
        <c:crossBetween val="midCat"/>
      </c:valAx>
      <c:valAx>
        <c:axId val="90803200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Potenza a rotore bloccato [W]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9080128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xVal>
            <c:numRef>
              <c:f>Asincrono!$L$12:$L$16</c:f>
              <c:numCache>
                <c:formatCode>General</c:formatCode>
                <c:ptCount val="5"/>
                <c:pt idx="0">
                  <c:v>6561</c:v>
                </c:pt>
                <c:pt idx="1">
                  <c:v>4872.04</c:v>
                </c:pt>
                <c:pt idx="2">
                  <c:v>3271.84</c:v>
                </c:pt>
                <c:pt idx="3">
                  <c:v>1900.96</c:v>
                </c:pt>
                <c:pt idx="4">
                  <c:v>900</c:v>
                </c:pt>
              </c:numCache>
            </c:numRef>
          </c:xVal>
          <c:yVal>
            <c:numRef>
              <c:f>Asincrono!$I$12:$I$16</c:f>
              <c:numCache>
                <c:formatCode>0.0</c:formatCode>
                <c:ptCount val="5"/>
                <c:pt idx="0">
                  <c:v>313</c:v>
                </c:pt>
                <c:pt idx="1">
                  <c:v>226</c:v>
                </c:pt>
                <c:pt idx="2">
                  <c:v>149</c:v>
                </c:pt>
                <c:pt idx="3">
                  <c:v>83</c:v>
                </c:pt>
                <c:pt idx="4">
                  <c:v>37.6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7D-4300-819C-5FC6225693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27008"/>
        <c:axId val="90837376"/>
      </c:scatterChart>
      <c:valAx>
        <c:axId val="90827008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Quadrato</a:t>
                </a:r>
                <a:r>
                  <a:rPr lang="it-IT" baseline="0"/>
                  <a:t> t</a:t>
                </a:r>
                <a:r>
                  <a:rPr lang="it-IT"/>
                  <a:t>ensione a rotore bloccato [V^2]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837376"/>
        <c:crosses val="autoZero"/>
        <c:crossBetween val="midCat"/>
      </c:valAx>
      <c:valAx>
        <c:axId val="90837376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Potenza a rotore bloccato [W]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90827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Asincrono!$J$22:$J$27</c:f>
              <c:numCache>
                <c:formatCode>0.00</c:formatCode>
                <c:ptCount val="6"/>
                <c:pt idx="0">
                  <c:v>1.66</c:v>
                </c:pt>
                <c:pt idx="1">
                  <c:v>1.7</c:v>
                </c:pt>
                <c:pt idx="2">
                  <c:v>1.75</c:v>
                </c:pt>
                <c:pt idx="3">
                  <c:v>1.84</c:v>
                </c:pt>
                <c:pt idx="4">
                  <c:v>2</c:v>
                </c:pt>
                <c:pt idx="5">
                  <c:v>2.2000000000000002</c:v>
                </c:pt>
              </c:numCache>
            </c:numRef>
          </c:xVal>
          <c:yVal>
            <c:numRef>
              <c:f>Asincrono!$I$22:$I$27</c:f>
              <c:numCache>
                <c:formatCode>General</c:formatCode>
                <c:ptCount val="6"/>
                <c:pt idx="0">
                  <c:v>230</c:v>
                </c:pt>
                <c:pt idx="1">
                  <c:v>413</c:v>
                </c:pt>
                <c:pt idx="2">
                  <c:v>481</c:v>
                </c:pt>
                <c:pt idx="3">
                  <c:v>647</c:v>
                </c:pt>
                <c:pt idx="4">
                  <c:v>820</c:v>
                </c:pt>
                <c:pt idx="5">
                  <c:v>1013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B2-4289-A46E-13EA49EEF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60928"/>
        <c:axId val="90883584"/>
      </c:scatterChart>
      <c:valAx>
        <c:axId val="90860928"/>
        <c:scaling>
          <c:orientation val="minMax"/>
          <c:min val="1.5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 algn="ctr" rtl="0">
                  <a:defRPr lang="it-IT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Corrente a carico [A]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0883584"/>
        <c:crosses val="autoZero"/>
        <c:crossBetween val="midCat"/>
      </c:valAx>
      <c:valAx>
        <c:axId val="90883584"/>
        <c:scaling>
          <c:orientation val="minMax"/>
          <c:min val="200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Potenza a carico [W]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08609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'Corrente continua (dati)'!$C$10:$C$19</c:f>
              <c:numCache>
                <c:formatCode>0.0</c:formatCode>
                <c:ptCount val="10"/>
                <c:pt idx="0">
                  <c:v>0</c:v>
                </c:pt>
                <c:pt idx="1">
                  <c:v>18</c:v>
                </c:pt>
                <c:pt idx="2">
                  <c:v>24.8</c:v>
                </c:pt>
                <c:pt idx="3">
                  <c:v>35</c:v>
                </c:pt>
                <c:pt idx="4">
                  <c:v>47.8</c:v>
                </c:pt>
                <c:pt idx="5">
                  <c:v>55.7</c:v>
                </c:pt>
                <c:pt idx="6">
                  <c:v>68.7</c:v>
                </c:pt>
                <c:pt idx="7">
                  <c:v>89.39</c:v>
                </c:pt>
                <c:pt idx="8">
                  <c:v>116.35</c:v>
                </c:pt>
                <c:pt idx="9">
                  <c:v>195</c:v>
                </c:pt>
              </c:numCache>
            </c:numRef>
          </c:xVal>
          <c:yVal>
            <c:numRef>
              <c:f>'Corrente continua (dati)'!$D$10:$D$19</c:f>
              <c:numCache>
                <c:formatCode>0.0</c:formatCode>
                <c:ptCount val="10"/>
                <c:pt idx="0">
                  <c:v>6.4</c:v>
                </c:pt>
                <c:pt idx="1">
                  <c:v>55.3</c:v>
                </c:pt>
                <c:pt idx="2">
                  <c:v>75.900000000000006</c:v>
                </c:pt>
                <c:pt idx="3">
                  <c:v>107</c:v>
                </c:pt>
                <c:pt idx="4">
                  <c:v>126.6</c:v>
                </c:pt>
                <c:pt idx="5">
                  <c:v>152.6</c:v>
                </c:pt>
                <c:pt idx="6">
                  <c:v>175.7</c:v>
                </c:pt>
                <c:pt idx="7">
                  <c:v>201</c:v>
                </c:pt>
                <c:pt idx="8">
                  <c:v>222.4</c:v>
                </c:pt>
                <c:pt idx="9">
                  <c:v>250.1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73-4C0C-BC33-53D32CC9B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30656"/>
        <c:axId val="91032576"/>
      </c:scatterChart>
      <c:valAx>
        <c:axId val="91030656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Corrente di eccitazione [mA]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1032576"/>
        <c:crosses val="autoZero"/>
        <c:crossBetween val="midCat"/>
      </c:valAx>
      <c:valAx>
        <c:axId val="91032576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Tensione a vuoto [V]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910306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'Corrente continua (dati)'!$G$10:$G$15</c:f>
              <c:numCache>
                <c:formatCode>0.000</c:formatCode>
                <c:ptCount val="6"/>
                <c:pt idx="0">
                  <c:v>0.59</c:v>
                </c:pt>
                <c:pt idx="1">
                  <c:v>0.84</c:v>
                </c:pt>
                <c:pt idx="2">
                  <c:v>1.377</c:v>
                </c:pt>
                <c:pt idx="3">
                  <c:v>1.98</c:v>
                </c:pt>
                <c:pt idx="4">
                  <c:v>2.5</c:v>
                </c:pt>
                <c:pt idx="5">
                  <c:v>3.42</c:v>
                </c:pt>
              </c:numCache>
            </c:numRef>
          </c:xVal>
          <c:yVal>
            <c:numRef>
              <c:f>'Corrente continua (dati)'!$H$10:$H$15</c:f>
              <c:numCache>
                <c:formatCode>0.00</c:formatCode>
                <c:ptCount val="6"/>
                <c:pt idx="0">
                  <c:v>215.6</c:v>
                </c:pt>
                <c:pt idx="1">
                  <c:v>213.28</c:v>
                </c:pt>
                <c:pt idx="2">
                  <c:v>206.6</c:v>
                </c:pt>
                <c:pt idx="3">
                  <c:v>198.5</c:v>
                </c:pt>
                <c:pt idx="4">
                  <c:v>187.78</c:v>
                </c:pt>
                <c:pt idx="5">
                  <c:v>172.5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5-4664-9B20-E90F656CA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56384"/>
        <c:axId val="91070848"/>
      </c:scatterChart>
      <c:valAx>
        <c:axId val="91056384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Corrente di armatura [A]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1070848"/>
        <c:crosses val="autoZero"/>
        <c:crossBetween val="midCat"/>
      </c:valAx>
      <c:valAx>
        <c:axId val="91070848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Tensione di armatura [V]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10563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'Corrente continua (dati)'!$K$10:$K$15</c:f>
              <c:numCache>
                <c:formatCode>0.000</c:formatCode>
                <c:ptCount val="6"/>
                <c:pt idx="0">
                  <c:v>0.60599999999999998</c:v>
                </c:pt>
                <c:pt idx="1">
                  <c:v>0.86499999999999999</c:v>
                </c:pt>
                <c:pt idx="2">
                  <c:v>1.46</c:v>
                </c:pt>
                <c:pt idx="3">
                  <c:v>2.1859999999999999</c:v>
                </c:pt>
                <c:pt idx="4">
                  <c:v>3.05</c:v>
                </c:pt>
                <c:pt idx="5">
                  <c:v>3.95</c:v>
                </c:pt>
              </c:numCache>
            </c:numRef>
          </c:xVal>
          <c:yVal>
            <c:numRef>
              <c:f>'Corrente continua (dati)'!$L$10:$L$15</c:f>
              <c:numCache>
                <c:formatCode>0.00</c:formatCode>
                <c:ptCount val="6"/>
                <c:pt idx="0">
                  <c:v>122.5</c:v>
                </c:pt>
                <c:pt idx="1">
                  <c:v>126.35</c:v>
                </c:pt>
                <c:pt idx="2">
                  <c:v>142.15</c:v>
                </c:pt>
                <c:pt idx="3">
                  <c:v>166.05</c:v>
                </c:pt>
                <c:pt idx="4">
                  <c:v>208.82</c:v>
                </c:pt>
                <c:pt idx="5">
                  <c:v>273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D5-43B2-9EB2-9B1E67B48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82112"/>
        <c:axId val="91104768"/>
      </c:scatterChart>
      <c:valAx>
        <c:axId val="91082112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Corrente di armatura [A]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it-IT"/>
          </a:p>
        </c:txPr>
        <c:crossAx val="91104768"/>
        <c:crosses val="autoZero"/>
        <c:crossBetween val="midCat"/>
      </c:valAx>
      <c:valAx>
        <c:axId val="91104768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Corrente di eccitazione [mA]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10821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48</xdr:row>
      <xdr:rowOff>9525</xdr:rowOff>
    </xdr:from>
    <xdr:to>
      <xdr:col>7</xdr:col>
      <xdr:colOff>323850</xdr:colOff>
      <xdr:row>66</xdr:row>
      <xdr:rowOff>9525</xdr:rowOff>
    </xdr:to>
    <xdr:graphicFrame macro="">
      <xdr:nvGraphicFramePr>
        <xdr:cNvPr id="103535" name="Grafico 1">
          <a:extLst>
            <a:ext uri="{FF2B5EF4-FFF2-40B4-BE49-F238E27FC236}">
              <a16:creationId xmlns:a16="http://schemas.microsoft.com/office/drawing/2014/main" id="{00000000-0008-0000-0000-00006F94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48</xdr:row>
      <xdr:rowOff>9525</xdr:rowOff>
    </xdr:from>
    <xdr:to>
      <xdr:col>22</xdr:col>
      <xdr:colOff>85725</xdr:colOff>
      <xdr:row>66</xdr:row>
      <xdr:rowOff>9525</xdr:rowOff>
    </xdr:to>
    <xdr:graphicFrame macro="">
      <xdr:nvGraphicFramePr>
        <xdr:cNvPr id="103536" name="Grafico 3">
          <a:extLst>
            <a:ext uri="{FF2B5EF4-FFF2-40B4-BE49-F238E27FC236}">
              <a16:creationId xmlns:a16="http://schemas.microsoft.com/office/drawing/2014/main" id="{00000000-0008-0000-0000-00007094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48</xdr:row>
      <xdr:rowOff>9525</xdr:rowOff>
    </xdr:from>
    <xdr:to>
      <xdr:col>15</xdr:col>
      <xdr:colOff>0</xdr:colOff>
      <xdr:row>66</xdr:row>
      <xdr:rowOff>9525</xdr:rowOff>
    </xdr:to>
    <xdr:graphicFrame macro="">
      <xdr:nvGraphicFramePr>
        <xdr:cNvPr id="103537" name="Grafico 4">
          <a:extLst>
            <a:ext uri="{FF2B5EF4-FFF2-40B4-BE49-F238E27FC236}">
              <a16:creationId xmlns:a16="http://schemas.microsoft.com/office/drawing/2014/main" id="{00000000-0008-0000-0000-00007194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7</xdr:col>
      <xdr:colOff>304800</xdr:colOff>
      <xdr:row>47</xdr:row>
      <xdr:rowOff>0</xdr:rowOff>
    </xdr:to>
    <xdr:graphicFrame macro="">
      <xdr:nvGraphicFramePr>
        <xdr:cNvPr id="103538" name="Grafico 5">
          <a:extLst>
            <a:ext uri="{FF2B5EF4-FFF2-40B4-BE49-F238E27FC236}">
              <a16:creationId xmlns:a16="http://schemas.microsoft.com/office/drawing/2014/main" id="{00000000-0008-0000-0000-00007294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323850</xdr:colOff>
      <xdr:row>29</xdr:row>
      <xdr:rowOff>9525</xdr:rowOff>
    </xdr:from>
    <xdr:to>
      <xdr:col>14</xdr:col>
      <xdr:colOff>600075</xdr:colOff>
      <xdr:row>47</xdr:row>
      <xdr:rowOff>9525</xdr:rowOff>
    </xdr:to>
    <xdr:graphicFrame macro="">
      <xdr:nvGraphicFramePr>
        <xdr:cNvPr id="103539" name="Grafico 6">
          <a:extLst>
            <a:ext uri="{FF2B5EF4-FFF2-40B4-BE49-F238E27FC236}">
              <a16:creationId xmlns:a16="http://schemas.microsoft.com/office/drawing/2014/main" id="{00000000-0008-0000-0000-00007394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0</xdr:colOff>
      <xdr:row>29</xdr:row>
      <xdr:rowOff>9525</xdr:rowOff>
    </xdr:from>
    <xdr:to>
      <xdr:col>22</xdr:col>
      <xdr:colOff>76200</xdr:colOff>
      <xdr:row>47</xdr:row>
      <xdr:rowOff>9525</xdr:rowOff>
    </xdr:to>
    <xdr:graphicFrame macro="">
      <xdr:nvGraphicFramePr>
        <xdr:cNvPr id="103540" name="Grafico 7">
          <a:extLst>
            <a:ext uri="{FF2B5EF4-FFF2-40B4-BE49-F238E27FC236}">
              <a16:creationId xmlns:a16="http://schemas.microsoft.com/office/drawing/2014/main" id="{00000000-0008-0000-0000-00007494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0</xdr:row>
      <xdr:rowOff>0</xdr:rowOff>
    </xdr:from>
    <xdr:to>
      <xdr:col>21</xdr:col>
      <xdr:colOff>228600</xdr:colOff>
      <xdr:row>13</xdr:row>
      <xdr:rowOff>104775</xdr:rowOff>
    </xdr:to>
    <xdr:graphicFrame macro="">
      <xdr:nvGraphicFramePr>
        <xdr:cNvPr id="23744" name="Grafico 1">
          <a:extLst>
            <a:ext uri="{FF2B5EF4-FFF2-40B4-BE49-F238E27FC236}">
              <a16:creationId xmlns:a16="http://schemas.microsoft.com/office/drawing/2014/main" id="{00000000-0008-0000-0300-0000C0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228600</xdr:colOff>
      <xdr:row>0</xdr:row>
      <xdr:rowOff>0</xdr:rowOff>
    </xdr:from>
    <xdr:to>
      <xdr:col>27</xdr:col>
      <xdr:colOff>457200</xdr:colOff>
      <xdr:row>13</xdr:row>
      <xdr:rowOff>104775</xdr:rowOff>
    </xdr:to>
    <xdr:graphicFrame macro="">
      <xdr:nvGraphicFramePr>
        <xdr:cNvPr id="23745" name="Grafico 2">
          <a:extLst>
            <a:ext uri="{FF2B5EF4-FFF2-40B4-BE49-F238E27FC236}">
              <a16:creationId xmlns:a16="http://schemas.microsoft.com/office/drawing/2014/main" id="{00000000-0008-0000-0300-0000C1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457200</xdr:colOff>
      <xdr:row>0</xdr:row>
      <xdr:rowOff>0</xdr:rowOff>
    </xdr:from>
    <xdr:to>
      <xdr:col>33</xdr:col>
      <xdr:colOff>685800</xdr:colOff>
      <xdr:row>13</xdr:row>
      <xdr:rowOff>104775</xdr:rowOff>
    </xdr:to>
    <xdr:graphicFrame macro="">
      <xdr:nvGraphicFramePr>
        <xdr:cNvPr id="23746" name="Grafico 5">
          <a:extLst>
            <a:ext uri="{FF2B5EF4-FFF2-40B4-BE49-F238E27FC236}">
              <a16:creationId xmlns:a16="http://schemas.microsoft.com/office/drawing/2014/main" id="{00000000-0008-0000-0300-0000C2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13</xdr:row>
      <xdr:rowOff>104775</xdr:rowOff>
    </xdr:from>
    <xdr:to>
      <xdr:col>21</xdr:col>
      <xdr:colOff>228600</xdr:colOff>
      <xdr:row>27</xdr:row>
      <xdr:rowOff>114300</xdr:rowOff>
    </xdr:to>
    <xdr:graphicFrame macro="">
      <xdr:nvGraphicFramePr>
        <xdr:cNvPr id="23747" name="Grafico 6">
          <a:extLst>
            <a:ext uri="{FF2B5EF4-FFF2-40B4-BE49-F238E27FC236}">
              <a16:creationId xmlns:a16="http://schemas.microsoft.com/office/drawing/2014/main" id="{00000000-0008-0000-0300-0000C3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228600</xdr:colOff>
      <xdr:row>13</xdr:row>
      <xdr:rowOff>104775</xdr:rowOff>
    </xdr:from>
    <xdr:to>
      <xdr:col>27</xdr:col>
      <xdr:colOff>457200</xdr:colOff>
      <xdr:row>27</xdr:row>
      <xdr:rowOff>114300</xdr:rowOff>
    </xdr:to>
    <xdr:graphicFrame macro="">
      <xdr:nvGraphicFramePr>
        <xdr:cNvPr id="23748" name="Grafico 7">
          <a:extLst>
            <a:ext uri="{FF2B5EF4-FFF2-40B4-BE49-F238E27FC236}">
              <a16:creationId xmlns:a16="http://schemas.microsoft.com/office/drawing/2014/main" id="{00000000-0008-0000-0300-0000C4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457200</xdr:colOff>
      <xdr:row>13</xdr:row>
      <xdr:rowOff>104775</xdr:rowOff>
    </xdr:from>
    <xdr:to>
      <xdr:col>33</xdr:col>
      <xdr:colOff>685800</xdr:colOff>
      <xdr:row>27</xdr:row>
      <xdr:rowOff>114300</xdr:rowOff>
    </xdr:to>
    <xdr:graphicFrame macro="">
      <xdr:nvGraphicFramePr>
        <xdr:cNvPr id="23749" name="Grafico 8">
          <a:extLst>
            <a:ext uri="{FF2B5EF4-FFF2-40B4-BE49-F238E27FC236}">
              <a16:creationId xmlns:a16="http://schemas.microsoft.com/office/drawing/2014/main" id="{00000000-0008-0000-0300-0000C5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27</xdr:row>
      <xdr:rowOff>114300</xdr:rowOff>
    </xdr:from>
    <xdr:to>
      <xdr:col>21</xdr:col>
      <xdr:colOff>228600</xdr:colOff>
      <xdr:row>42</xdr:row>
      <xdr:rowOff>0</xdr:rowOff>
    </xdr:to>
    <xdr:graphicFrame macro="">
      <xdr:nvGraphicFramePr>
        <xdr:cNvPr id="23750" name="Grafico 12">
          <a:extLst>
            <a:ext uri="{FF2B5EF4-FFF2-40B4-BE49-F238E27FC236}">
              <a16:creationId xmlns:a16="http://schemas.microsoft.com/office/drawing/2014/main" id="{00000000-0008-0000-0300-0000C6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</xdr:colOff>
      <xdr:row>0</xdr:row>
      <xdr:rowOff>0</xdr:rowOff>
    </xdr:from>
    <xdr:to>
      <xdr:col>19</xdr:col>
      <xdr:colOff>238125</xdr:colOff>
      <xdr:row>13</xdr:row>
      <xdr:rowOff>104775</xdr:rowOff>
    </xdr:to>
    <xdr:graphicFrame macro="">
      <xdr:nvGraphicFramePr>
        <xdr:cNvPr id="1133" name="Grafico 5">
          <a:extLst>
            <a:ext uri="{FF2B5EF4-FFF2-40B4-BE49-F238E27FC236}">
              <a16:creationId xmlns:a16="http://schemas.microsoft.com/office/drawing/2014/main" id="{00000000-0008-0000-0400-00006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9525</xdr:colOff>
      <xdr:row>13</xdr:row>
      <xdr:rowOff>104775</xdr:rowOff>
    </xdr:from>
    <xdr:to>
      <xdr:col>19</xdr:col>
      <xdr:colOff>238125</xdr:colOff>
      <xdr:row>24</xdr:row>
      <xdr:rowOff>161925</xdr:rowOff>
    </xdr:to>
    <xdr:graphicFrame macro="">
      <xdr:nvGraphicFramePr>
        <xdr:cNvPr id="1134" name="Grafico 6">
          <a:extLst>
            <a:ext uri="{FF2B5EF4-FFF2-40B4-BE49-F238E27FC236}">
              <a16:creationId xmlns:a16="http://schemas.microsoft.com/office/drawing/2014/main" id="{00000000-0008-0000-0400-00006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</xdr:colOff>
      <xdr:row>24</xdr:row>
      <xdr:rowOff>152400</xdr:rowOff>
    </xdr:from>
    <xdr:to>
      <xdr:col>19</xdr:col>
      <xdr:colOff>238125</xdr:colOff>
      <xdr:row>39</xdr:row>
      <xdr:rowOff>38100</xdr:rowOff>
    </xdr:to>
    <xdr:graphicFrame macro="">
      <xdr:nvGraphicFramePr>
        <xdr:cNvPr id="1135" name="Grafico 7">
          <a:extLst>
            <a:ext uri="{FF2B5EF4-FFF2-40B4-BE49-F238E27FC236}">
              <a16:creationId xmlns:a16="http://schemas.microsoft.com/office/drawing/2014/main" id="{00000000-0008-0000-0400-00006F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"/>
  <sheetViews>
    <sheetView tabSelected="1" zoomScale="85" zoomScaleNormal="85" workbookViewId="0">
      <selection activeCell="U18" sqref="U18"/>
    </sheetView>
  </sheetViews>
  <sheetFormatPr defaultRowHeight="11.4"/>
  <cols>
    <col min="1" max="1" width="9" style="41"/>
    <col min="2" max="2" width="8.375" style="41" bestFit="1" customWidth="1"/>
    <col min="3" max="3" width="10.875" style="41" bestFit="1" customWidth="1"/>
    <col min="4" max="4" width="12.875" style="41" bestFit="1" customWidth="1"/>
    <col min="5" max="5" width="9.25" style="41" bestFit="1" customWidth="1"/>
    <col min="6" max="6" width="11.5" style="41" bestFit="1" customWidth="1"/>
    <col min="7" max="8" width="9" style="41"/>
    <col min="9" max="9" width="10.375" style="41" bestFit="1" customWidth="1"/>
    <col min="10" max="10" width="9" style="41"/>
    <col min="11" max="11" width="10.75" style="41" bestFit="1" customWidth="1"/>
    <col min="12" max="12" width="9.125" style="41" bestFit="1" customWidth="1"/>
    <col min="13" max="13" width="9.625" style="41" bestFit="1" customWidth="1"/>
    <col min="14" max="14" width="8.75" style="41" customWidth="1"/>
    <col min="15" max="16" width="9" style="41"/>
    <col min="17" max="17" width="10.75" style="41" customWidth="1"/>
    <col min="18" max="18" width="11" style="41" customWidth="1"/>
    <col min="19" max="16384" width="9" style="41"/>
  </cols>
  <sheetData>
    <row r="1" spans="1:20" ht="24" customHeight="1">
      <c r="A1" s="31" t="s">
        <v>47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20" ht="15" customHeight="1">
      <c r="A2" s="42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20" ht="15" customHeight="1">
      <c r="A3" s="32" t="s">
        <v>48</v>
      </c>
      <c r="B3" s="32"/>
      <c r="C3" s="33" t="s">
        <v>4</v>
      </c>
      <c r="D3" s="52">
        <v>25.7</v>
      </c>
      <c r="E3" s="36" t="s">
        <v>1</v>
      </c>
      <c r="F3" s="44" t="s">
        <v>56</v>
      </c>
      <c r="G3" s="34" t="s">
        <v>58</v>
      </c>
      <c r="H3" s="53">
        <v>50</v>
      </c>
      <c r="I3" s="35" t="s">
        <v>57</v>
      </c>
      <c r="J3" s="40"/>
      <c r="K3" s="40"/>
      <c r="L3" s="40"/>
      <c r="M3" s="40"/>
      <c r="N3" s="40"/>
    </row>
    <row r="4" spans="1:20" ht="15" customHeight="1">
      <c r="A4" s="42"/>
      <c r="B4" s="42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20" ht="15">
      <c r="A5" s="32" t="s">
        <v>49</v>
      </c>
      <c r="B5" s="32"/>
      <c r="C5" s="33" t="s">
        <v>24</v>
      </c>
      <c r="D5" s="52">
        <v>14.8</v>
      </c>
      <c r="E5" s="36" t="s">
        <v>3</v>
      </c>
      <c r="F5" s="33" t="s">
        <v>25</v>
      </c>
      <c r="G5" s="52">
        <v>14.8</v>
      </c>
      <c r="H5" s="36" t="s">
        <v>3</v>
      </c>
      <c r="I5" s="33" t="s">
        <v>26</v>
      </c>
      <c r="J5" s="52">
        <v>15</v>
      </c>
      <c r="K5" s="36" t="s">
        <v>3</v>
      </c>
      <c r="L5" s="34" t="s">
        <v>45</v>
      </c>
      <c r="M5" s="52">
        <f>AVERAGE(D5:J5)</f>
        <v>14.866666666666667</v>
      </c>
      <c r="N5" s="36" t="s">
        <v>3</v>
      </c>
    </row>
    <row r="6" spans="1:20" ht="15">
      <c r="A6" s="32" t="s">
        <v>50</v>
      </c>
      <c r="B6" s="32"/>
      <c r="C6" s="33" t="s">
        <v>24</v>
      </c>
      <c r="D6" s="52">
        <v>2.7</v>
      </c>
      <c r="E6" s="36" t="s">
        <v>3</v>
      </c>
      <c r="F6" s="33" t="s">
        <v>25</v>
      </c>
      <c r="G6" s="52">
        <v>2.7</v>
      </c>
      <c r="H6" s="36" t="s">
        <v>3</v>
      </c>
      <c r="I6" s="33" t="s">
        <v>26</v>
      </c>
      <c r="J6" s="52">
        <v>2.7</v>
      </c>
      <c r="K6" s="36" t="s">
        <v>3</v>
      </c>
      <c r="L6" s="34" t="s">
        <v>45</v>
      </c>
      <c r="M6" s="52">
        <f>AVERAGE(D6:J6)</f>
        <v>2.7000000000000006</v>
      </c>
      <c r="N6" s="36" t="s">
        <v>3</v>
      </c>
    </row>
    <row r="7" spans="1:20" ht="15" customHeight="1">
      <c r="A7" s="32" t="s">
        <v>14</v>
      </c>
      <c r="B7" s="32"/>
      <c r="C7" s="32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20" ht="15" customHeight="1">
      <c r="A8" s="42"/>
      <c r="B8" s="42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20" ht="15" customHeight="1">
      <c r="A9" s="32" t="s">
        <v>49</v>
      </c>
      <c r="B9" s="32"/>
      <c r="C9" s="33" t="s">
        <v>24</v>
      </c>
      <c r="D9" s="52">
        <v>15.4</v>
      </c>
      <c r="E9" s="36" t="s">
        <v>3</v>
      </c>
      <c r="F9" s="33" t="s">
        <v>25</v>
      </c>
      <c r="G9" s="52">
        <v>15.4</v>
      </c>
      <c r="H9" s="36" t="s">
        <v>3</v>
      </c>
      <c r="I9" s="33" t="s">
        <v>26</v>
      </c>
      <c r="J9" s="52">
        <v>15.5</v>
      </c>
      <c r="K9" s="36" t="s">
        <v>3</v>
      </c>
      <c r="L9" s="34" t="s">
        <v>45</v>
      </c>
      <c r="M9" s="52">
        <f>AVERAGE(D9:J9)</f>
        <v>15.433333333333332</v>
      </c>
      <c r="N9" s="36" t="s">
        <v>3</v>
      </c>
    </row>
    <row r="10" spans="1:20" ht="15" customHeight="1">
      <c r="A10" s="32" t="s">
        <v>50</v>
      </c>
      <c r="B10" s="32"/>
      <c r="C10" s="33" t="s">
        <v>24</v>
      </c>
      <c r="D10" s="52">
        <v>2.8</v>
      </c>
      <c r="E10" s="36" t="s">
        <v>3</v>
      </c>
      <c r="F10" s="33" t="s">
        <v>25</v>
      </c>
      <c r="G10" s="52">
        <v>2.8</v>
      </c>
      <c r="H10" s="36" t="s">
        <v>3</v>
      </c>
      <c r="I10" s="33" t="s">
        <v>26</v>
      </c>
      <c r="J10" s="52">
        <v>2.8</v>
      </c>
      <c r="K10" s="36" t="s">
        <v>3</v>
      </c>
      <c r="L10" s="34" t="s">
        <v>45</v>
      </c>
      <c r="M10" s="52">
        <f>AVERAGE(D10:J10)</f>
        <v>2.7999999999999994</v>
      </c>
      <c r="N10" s="36" t="s">
        <v>3</v>
      </c>
    </row>
    <row r="11" spans="1:20" ht="15" customHeight="1">
      <c r="A11" s="32" t="s">
        <v>15</v>
      </c>
      <c r="B11" s="32"/>
      <c r="C11" s="32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20" ht="15" customHeight="1"/>
    <row r="14" spans="1:20" ht="15.6">
      <c r="A14" s="54" t="s">
        <v>9</v>
      </c>
      <c r="B14" s="54"/>
      <c r="C14" s="54"/>
      <c r="D14" s="54"/>
      <c r="E14" s="54"/>
      <c r="F14" s="40"/>
      <c r="G14" s="54" t="s">
        <v>10</v>
      </c>
      <c r="H14" s="54"/>
      <c r="I14" s="54"/>
      <c r="J14" s="54"/>
      <c r="K14" s="54"/>
      <c r="L14" s="37"/>
      <c r="M14" s="37"/>
      <c r="S14" s="40"/>
      <c r="T14" s="40"/>
    </row>
    <row r="15" spans="1:20" ht="18.600000000000001">
      <c r="A15" s="39" t="s">
        <v>5</v>
      </c>
      <c r="B15" s="38" t="s">
        <v>59</v>
      </c>
      <c r="C15" s="39" t="s">
        <v>51</v>
      </c>
      <c r="D15" s="38" t="s">
        <v>53</v>
      </c>
      <c r="E15" s="39" t="s">
        <v>52</v>
      </c>
      <c r="G15" s="39" t="s">
        <v>5</v>
      </c>
      <c r="H15" s="38" t="s">
        <v>54</v>
      </c>
      <c r="I15" s="39" t="s">
        <v>11</v>
      </c>
      <c r="J15" s="39" t="s">
        <v>13</v>
      </c>
      <c r="K15" s="38" t="s">
        <v>55</v>
      </c>
      <c r="S15" s="40"/>
      <c r="T15" s="40"/>
    </row>
    <row r="16" spans="1:20" ht="15">
      <c r="A16" s="39">
        <v>1</v>
      </c>
      <c r="B16" s="47">
        <v>55.4</v>
      </c>
      <c r="C16" s="47">
        <v>430.9</v>
      </c>
      <c r="D16" s="47">
        <f>POWER(C16,2)</f>
        <v>185674.80999999997</v>
      </c>
      <c r="E16" s="47">
        <v>16.100000000000001</v>
      </c>
      <c r="G16" s="39">
        <v>1</v>
      </c>
      <c r="H16" s="46">
        <v>1224</v>
      </c>
      <c r="I16" s="43">
        <v>151.9</v>
      </c>
      <c r="J16" s="47">
        <v>72.3</v>
      </c>
      <c r="K16" s="46">
        <f>POWER(H16,2)</f>
        <v>1498176</v>
      </c>
      <c r="S16" s="40"/>
      <c r="T16" s="40"/>
    </row>
    <row r="17" spans="1:20" ht="15">
      <c r="A17" s="39">
        <v>2</v>
      </c>
      <c r="B17" s="47">
        <v>51.4</v>
      </c>
      <c r="C17" s="47">
        <v>420.3</v>
      </c>
      <c r="D17" s="47">
        <f t="shared" ref="D17:D25" si="0">POWER(C17,2)</f>
        <v>176652.09</v>
      </c>
      <c r="E17" s="47">
        <v>15.3</v>
      </c>
      <c r="G17" s="39">
        <v>2</v>
      </c>
      <c r="H17" s="46">
        <v>1008</v>
      </c>
      <c r="I17" s="47">
        <v>104.8</v>
      </c>
      <c r="J17" s="47">
        <v>60.4</v>
      </c>
      <c r="K17" s="46">
        <f>POWER(H17,2)</f>
        <v>1016064</v>
      </c>
      <c r="S17" s="40"/>
      <c r="T17" s="40"/>
    </row>
    <row r="18" spans="1:20" ht="15">
      <c r="A18" s="39">
        <v>3</v>
      </c>
      <c r="B18" s="47">
        <v>45.1</v>
      </c>
      <c r="C18" s="47">
        <v>399.8</v>
      </c>
      <c r="D18" s="47">
        <f t="shared" si="0"/>
        <v>159840.04</v>
      </c>
      <c r="E18" s="47">
        <v>14</v>
      </c>
      <c r="G18" s="39">
        <v>3</v>
      </c>
      <c r="H18" s="46">
        <v>800</v>
      </c>
      <c r="I18" s="45">
        <v>66.3</v>
      </c>
      <c r="J18" s="47">
        <v>48.2</v>
      </c>
      <c r="K18" s="46">
        <f>POWER(H18,2)</f>
        <v>640000</v>
      </c>
      <c r="S18" s="40"/>
      <c r="T18" s="40"/>
    </row>
    <row r="19" spans="1:20" ht="15">
      <c r="A19" s="39">
        <v>4</v>
      </c>
      <c r="B19" s="47">
        <v>40</v>
      </c>
      <c r="C19" s="47">
        <v>380</v>
      </c>
      <c r="D19" s="47">
        <f t="shared" si="0"/>
        <v>144400</v>
      </c>
      <c r="E19" s="47">
        <v>12.7</v>
      </c>
      <c r="G19" s="39">
        <v>4</v>
      </c>
      <c r="H19" s="46">
        <v>606</v>
      </c>
      <c r="I19" s="47">
        <v>38.5</v>
      </c>
      <c r="J19" s="47">
        <v>36.9</v>
      </c>
      <c r="K19" s="46">
        <f>POWER(H19,2)</f>
        <v>367236</v>
      </c>
      <c r="S19" s="40"/>
      <c r="T19" s="40"/>
    </row>
    <row r="20" spans="1:20" ht="15">
      <c r="A20" s="39">
        <v>5</v>
      </c>
      <c r="B20" s="47">
        <v>35.6</v>
      </c>
      <c r="C20" s="47">
        <v>360.3</v>
      </c>
      <c r="D20" s="47">
        <f t="shared" si="0"/>
        <v>129816.09000000001</v>
      </c>
      <c r="E20" s="47">
        <v>11.6</v>
      </c>
      <c r="G20" s="39">
        <v>5</v>
      </c>
      <c r="H20" s="46">
        <v>395</v>
      </c>
      <c r="I20" s="47">
        <v>16.399999999999999</v>
      </c>
      <c r="J20" s="47">
        <v>24</v>
      </c>
      <c r="K20" s="46">
        <f>POWER(H20,2)</f>
        <v>156025</v>
      </c>
      <c r="S20" s="40"/>
      <c r="T20" s="40"/>
    </row>
    <row r="21" spans="1:20" ht="15">
      <c r="A21" s="39">
        <v>6</v>
      </c>
      <c r="B21" s="47">
        <v>31.4</v>
      </c>
      <c r="C21" s="47">
        <v>340.2</v>
      </c>
      <c r="D21" s="47">
        <f t="shared" si="0"/>
        <v>115736.04</v>
      </c>
      <c r="E21" s="47">
        <v>10.4</v>
      </c>
      <c r="J21" s="48"/>
      <c r="K21" s="48"/>
      <c r="L21" s="49"/>
      <c r="M21" s="48"/>
      <c r="N21" s="49"/>
      <c r="O21" s="50"/>
      <c r="P21" s="50"/>
      <c r="Q21" s="48"/>
      <c r="S21" s="40"/>
      <c r="T21" s="40"/>
    </row>
    <row r="22" spans="1:20" ht="15">
      <c r="A22" s="39">
        <v>7</v>
      </c>
      <c r="B22" s="47">
        <v>27.8</v>
      </c>
      <c r="C22" s="47">
        <v>288.8</v>
      </c>
      <c r="D22" s="47">
        <f t="shared" si="0"/>
        <v>83405.440000000002</v>
      </c>
      <c r="E22" s="47">
        <v>7.8</v>
      </c>
      <c r="N22" s="40"/>
      <c r="O22" s="40"/>
      <c r="P22" s="40"/>
      <c r="Q22" s="40"/>
      <c r="R22" s="40"/>
      <c r="S22" s="40"/>
      <c r="T22" s="40"/>
    </row>
    <row r="23" spans="1:20" ht="15.6">
      <c r="A23" s="39">
        <v>8</v>
      </c>
      <c r="B23" s="47">
        <v>20.399999999999999</v>
      </c>
      <c r="C23" s="47">
        <v>240</v>
      </c>
      <c r="D23" s="47">
        <f t="shared" si="0"/>
        <v>57600</v>
      </c>
      <c r="E23" s="47">
        <v>5.7</v>
      </c>
      <c r="J23" s="51"/>
      <c r="K23" s="51"/>
      <c r="L23" s="51"/>
      <c r="N23" s="37"/>
      <c r="O23" s="37"/>
      <c r="P23" s="37"/>
      <c r="Q23" s="37"/>
      <c r="R23" s="37"/>
      <c r="S23" s="37"/>
      <c r="T23" s="37"/>
    </row>
    <row r="24" spans="1:20" ht="15">
      <c r="A24" s="39">
        <v>9</v>
      </c>
      <c r="B24" s="47">
        <v>17.7</v>
      </c>
      <c r="C24" s="47">
        <v>199.4</v>
      </c>
      <c r="D24" s="47">
        <f t="shared" si="0"/>
        <v>39760.36</v>
      </c>
      <c r="E24" s="47">
        <v>4.0999999999999996</v>
      </c>
      <c r="J24" s="51"/>
      <c r="K24" s="51"/>
      <c r="L24" s="51"/>
      <c r="N24" s="40"/>
      <c r="P24" s="40"/>
      <c r="Q24" s="40"/>
      <c r="R24" s="40"/>
      <c r="S24" s="40"/>
      <c r="T24" s="40"/>
    </row>
    <row r="25" spans="1:20" ht="15">
      <c r="A25" s="39">
        <v>10</v>
      </c>
      <c r="B25" s="47">
        <v>15.1</v>
      </c>
      <c r="C25" s="47">
        <v>162.4</v>
      </c>
      <c r="D25" s="47">
        <f t="shared" si="0"/>
        <v>26373.760000000002</v>
      </c>
      <c r="E25" s="47">
        <v>2.9</v>
      </c>
      <c r="N25" s="40"/>
      <c r="P25" s="40"/>
      <c r="Q25" s="40"/>
      <c r="R25" s="40"/>
      <c r="S25" s="40"/>
      <c r="T25" s="40"/>
    </row>
    <row r="26" spans="1:20" ht="15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</sheetData>
  <mergeCells count="10">
    <mergeCell ref="A7:C7"/>
    <mergeCell ref="A11:C11"/>
    <mergeCell ref="A3:B3"/>
    <mergeCell ref="A5:B5"/>
    <mergeCell ref="A6:B6"/>
    <mergeCell ref="A9:B9"/>
    <mergeCell ref="A10:B10"/>
    <mergeCell ref="A1:N1"/>
    <mergeCell ref="A14:E14"/>
    <mergeCell ref="G14:K14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C45" sqref="C45"/>
    </sheetView>
  </sheetViews>
  <sheetFormatPr defaultRowHeight="11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view="pageBreakPreview" zoomScaleNormal="100" workbookViewId="0">
      <selection activeCell="N18" sqref="N18"/>
    </sheetView>
  </sheetViews>
  <sheetFormatPr defaultColWidth="10.875" defaultRowHeight="15"/>
  <cols>
    <col min="1" max="1" width="7.75" style="1" customWidth="1"/>
    <col min="2" max="2" width="7.375" style="1" customWidth="1"/>
    <col min="3" max="3" width="15.25" style="1" customWidth="1"/>
    <col min="4" max="4" width="13.75" style="1" customWidth="1"/>
    <col min="5" max="5" width="5.875" style="1" customWidth="1"/>
    <col min="6" max="6" width="9.875" style="1" customWidth="1"/>
    <col min="7" max="7" width="18.375" style="1" customWidth="1"/>
    <col min="8" max="8" width="17.375" style="1" customWidth="1"/>
    <col min="9" max="9" width="5.875" style="1" customWidth="1"/>
    <col min="10" max="10" width="14.25" style="1" customWidth="1"/>
    <col min="11" max="11" width="18.125" style="1" customWidth="1"/>
    <col min="12" max="12" width="18" style="1" customWidth="1"/>
    <col min="13" max="16384" width="10.875" style="1"/>
  </cols>
  <sheetData>
    <row r="1" spans="1:12" ht="17.399999999999999">
      <c r="A1" s="27" t="s">
        <v>36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3" spans="1:12">
      <c r="C3" s="9" t="s">
        <v>38</v>
      </c>
      <c r="D3" s="8"/>
      <c r="E3" s="6" t="s">
        <v>39</v>
      </c>
    </row>
    <row r="4" spans="1:12">
      <c r="C4" s="9" t="s">
        <v>40</v>
      </c>
      <c r="D4" s="8"/>
      <c r="E4" s="6" t="s">
        <v>41</v>
      </c>
    </row>
    <row r="6" spans="1:12" s="10" customFormat="1" ht="13.8">
      <c r="B6" s="29" t="s">
        <v>9</v>
      </c>
      <c r="C6" s="29"/>
      <c r="D6" s="29"/>
      <c r="F6" s="29" t="s">
        <v>28</v>
      </c>
      <c r="G6" s="29"/>
      <c r="H6" s="29"/>
      <c r="J6" s="29" t="s">
        <v>29</v>
      </c>
      <c r="K6" s="29"/>
      <c r="L6" s="29"/>
    </row>
    <row r="8" spans="1:12">
      <c r="B8" s="4" t="s">
        <v>5</v>
      </c>
      <c r="C8" s="5" t="s">
        <v>37</v>
      </c>
      <c r="D8" s="5" t="s">
        <v>35</v>
      </c>
      <c r="F8" s="4" t="s">
        <v>5</v>
      </c>
      <c r="G8" s="5" t="s">
        <v>27</v>
      </c>
      <c r="H8" s="5" t="s">
        <v>35</v>
      </c>
      <c r="J8" s="4" t="s">
        <v>5</v>
      </c>
      <c r="K8" s="5" t="s">
        <v>27</v>
      </c>
      <c r="L8" s="5" t="s">
        <v>37</v>
      </c>
    </row>
    <row r="9" spans="1:12" ht="21" customHeight="1">
      <c r="B9" s="3">
        <v>1</v>
      </c>
      <c r="C9" s="3"/>
      <c r="D9" s="3"/>
      <c r="F9" s="3">
        <v>1</v>
      </c>
      <c r="G9" s="3"/>
      <c r="H9" s="3"/>
      <c r="J9" s="3">
        <v>1</v>
      </c>
      <c r="K9" s="3"/>
      <c r="L9" s="3"/>
    </row>
    <row r="10" spans="1:12" ht="21" customHeight="1">
      <c r="B10" s="3">
        <v>2</v>
      </c>
      <c r="C10" s="3"/>
      <c r="D10" s="3"/>
      <c r="F10" s="3">
        <v>2</v>
      </c>
      <c r="G10" s="3"/>
      <c r="H10" s="3"/>
      <c r="J10" s="3">
        <v>2</v>
      </c>
      <c r="K10" s="3"/>
      <c r="L10" s="3"/>
    </row>
    <row r="11" spans="1:12" ht="21" customHeight="1">
      <c r="B11" s="3">
        <v>3</v>
      </c>
      <c r="C11" s="3"/>
      <c r="D11" s="3"/>
      <c r="F11" s="3">
        <v>3</v>
      </c>
      <c r="G11" s="3"/>
      <c r="H11" s="3"/>
      <c r="J11" s="3">
        <v>3</v>
      </c>
      <c r="K11" s="3"/>
      <c r="L11" s="3"/>
    </row>
    <row r="12" spans="1:12" ht="21" customHeight="1">
      <c r="B12" s="3">
        <v>4</v>
      </c>
      <c r="C12" s="3"/>
      <c r="D12" s="3"/>
      <c r="F12" s="3">
        <v>4</v>
      </c>
      <c r="G12" s="3"/>
      <c r="H12" s="3"/>
      <c r="J12" s="3">
        <v>4</v>
      </c>
      <c r="K12" s="3"/>
      <c r="L12" s="3"/>
    </row>
    <row r="13" spans="1:12" ht="21" customHeight="1">
      <c r="B13" s="3">
        <v>5</v>
      </c>
      <c r="C13" s="3"/>
      <c r="D13" s="3"/>
      <c r="F13" s="3">
        <v>5</v>
      </c>
      <c r="G13" s="3"/>
      <c r="H13" s="3"/>
      <c r="J13" s="3">
        <v>5</v>
      </c>
      <c r="K13" s="3"/>
      <c r="L13" s="3"/>
    </row>
    <row r="14" spans="1:12" ht="21" customHeight="1">
      <c r="B14" s="3">
        <v>6</v>
      </c>
      <c r="C14" s="3"/>
      <c r="D14" s="3"/>
      <c r="F14" s="3">
        <v>6</v>
      </c>
      <c r="G14" s="3"/>
      <c r="H14" s="3"/>
      <c r="J14" s="3">
        <v>6</v>
      </c>
      <c r="K14" s="3"/>
      <c r="L14" s="3"/>
    </row>
    <row r="15" spans="1:12" ht="21" customHeight="1">
      <c r="B15" s="3">
        <v>7</v>
      </c>
      <c r="C15" s="3"/>
      <c r="D15" s="3"/>
    </row>
    <row r="16" spans="1:12" ht="21" customHeight="1">
      <c r="B16" s="3">
        <v>8</v>
      </c>
      <c r="C16" s="3"/>
      <c r="D16" s="3"/>
      <c r="G16" s="9"/>
      <c r="H16" s="6"/>
      <c r="I16" s="6"/>
    </row>
    <row r="17" spans="2:12" ht="21" customHeight="1">
      <c r="B17" s="3">
        <v>9</v>
      </c>
      <c r="C17" s="3"/>
      <c r="D17" s="3"/>
      <c r="G17" s="9"/>
      <c r="H17" s="6"/>
      <c r="I17" s="6"/>
    </row>
    <row r="18" spans="2:12" ht="21" customHeight="1">
      <c r="B18" s="3">
        <v>10</v>
      </c>
      <c r="C18" s="3"/>
      <c r="D18" s="3"/>
    </row>
    <row r="20" spans="2:12" ht="20.399999999999999" customHeight="1">
      <c r="B20" s="9" t="s">
        <v>30</v>
      </c>
      <c r="C20" s="7"/>
      <c r="D20" s="6" t="s">
        <v>32</v>
      </c>
      <c r="F20" s="9" t="s">
        <v>30</v>
      </c>
      <c r="G20" s="7"/>
      <c r="H20" s="6" t="s">
        <v>32</v>
      </c>
      <c r="I20" s="2"/>
      <c r="J20" s="9" t="s">
        <v>30</v>
      </c>
      <c r="K20" s="7"/>
      <c r="L20" s="6" t="s">
        <v>32</v>
      </c>
    </row>
    <row r="21" spans="2:12" ht="20.399999999999999" customHeight="1">
      <c r="B21" s="9"/>
      <c r="C21" s="6"/>
      <c r="D21" s="6"/>
      <c r="F21" s="9" t="s">
        <v>31</v>
      </c>
      <c r="G21" s="8"/>
      <c r="H21" s="6" t="s">
        <v>42</v>
      </c>
      <c r="J21" s="9" t="s">
        <v>33</v>
      </c>
      <c r="K21" s="8"/>
      <c r="L21" s="6" t="s">
        <v>34</v>
      </c>
    </row>
  </sheetData>
  <mergeCells count="4">
    <mergeCell ref="A1:L1"/>
    <mergeCell ref="F6:H6"/>
    <mergeCell ref="J6:L6"/>
    <mergeCell ref="B6:D6"/>
  </mergeCells>
  <phoneticPr fontId="0" type="noConversion"/>
  <printOptions horizontalCentered="1" verticalCentered="1"/>
  <pageMargins left="0.19685039370078741" right="0.56999999999999995" top="0.98425196850393704" bottom="0.98425196850393704" header="0.51181102362204722" footer="0.51181102362204722"/>
  <pageSetup paperSize="9" orientation="landscape" horizontalDpi="4294967292" verticalDpi="4294967292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0"/>
  <sheetViews>
    <sheetView topLeftCell="B15" zoomScaleNormal="100" zoomScaleSheetLayoutView="100" workbookViewId="0">
      <selection activeCell="B1" sqref="B1:O31"/>
    </sheetView>
  </sheetViews>
  <sheetFormatPr defaultColWidth="10.875" defaultRowHeight="15"/>
  <cols>
    <col min="1" max="1" width="17.25" style="1" hidden="1" customWidth="1"/>
    <col min="2" max="2" width="9.875" style="1" customWidth="1"/>
    <col min="3" max="3" width="11.375" style="1" customWidth="1"/>
    <col min="4" max="5" width="10.875" style="1" customWidth="1"/>
    <col min="6" max="6" width="10.75" style="1" customWidth="1"/>
    <col min="7" max="8" width="10.875" style="1" customWidth="1"/>
    <col min="9" max="9" width="9.25" style="1" bestFit="1" customWidth="1"/>
    <col min="10" max="16384" width="10.875" style="1"/>
  </cols>
  <sheetData>
    <row r="1" spans="1:15" ht="17.399999999999999">
      <c r="B1" s="27" t="s">
        <v>16</v>
      </c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5">
      <c r="A2" s="16" t="s">
        <v>16</v>
      </c>
      <c r="B2" s="16"/>
    </row>
    <row r="3" spans="1:15" ht="18.600000000000001">
      <c r="B3" s="15" t="s">
        <v>0</v>
      </c>
      <c r="C3" s="16"/>
      <c r="D3" s="2" t="s">
        <v>4</v>
      </c>
      <c r="E3" s="13">
        <v>22</v>
      </c>
      <c r="F3" s="1" t="s">
        <v>1</v>
      </c>
    </row>
    <row r="4" spans="1:15">
      <c r="B4" s="16"/>
      <c r="C4" s="16"/>
    </row>
    <row r="5" spans="1:15">
      <c r="B5" s="15" t="s">
        <v>2</v>
      </c>
      <c r="C5" s="16"/>
      <c r="D5" s="2" t="s">
        <v>24</v>
      </c>
      <c r="E5" s="13">
        <v>6.4</v>
      </c>
      <c r="F5" s="1" t="s">
        <v>3</v>
      </c>
      <c r="G5" s="2" t="s">
        <v>25</v>
      </c>
      <c r="H5" s="13">
        <v>6.3</v>
      </c>
      <c r="I5" s="1" t="s">
        <v>3</v>
      </c>
      <c r="J5" s="2" t="s">
        <v>26</v>
      </c>
      <c r="K5" s="13">
        <v>6.45</v>
      </c>
      <c r="L5" s="1" t="s">
        <v>3</v>
      </c>
      <c r="M5" s="9" t="s">
        <v>45</v>
      </c>
      <c r="N5" s="13">
        <f>AVERAGE(E5:K5)</f>
        <v>6.3833333333333329</v>
      </c>
      <c r="O5" s="1" t="s">
        <v>3</v>
      </c>
    </row>
    <row r="6" spans="1:15">
      <c r="B6" s="15" t="s">
        <v>14</v>
      </c>
      <c r="C6" s="16"/>
    </row>
    <row r="7" spans="1:15">
      <c r="B7" s="16"/>
      <c r="C7" s="16"/>
    </row>
    <row r="9" spans="1:15" ht="15.6">
      <c r="B9" s="28" t="s">
        <v>9</v>
      </c>
      <c r="C9" s="28"/>
      <c r="D9" s="28"/>
      <c r="E9" s="28"/>
      <c r="H9" s="28" t="s">
        <v>10</v>
      </c>
      <c r="I9" s="28"/>
      <c r="J9" s="28"/>
      <c r="K9" s="28"/>
    </row>
    <row r="11" spans="1:15" ht="18.600000000000001">
      <c r="B11" s="4" t="s">
        <v>5</v>
      </c>
      <c r="C11" s="5" t="s">
        <v>6</v>
      </c>
      <c r="D11" s="5" t="s">
        <v>7</v>
      </c>
      <c r="E11" s="5" t="s">
        <v>8</v>
      </c>
      <c r="F11" s="26" t="s">
        <v>43</v>
      </c>
      <c r="H11" s="4" t="s">
        <v>5</v>
      </c>
      <c r="I11" s="5" t="s">
        <v>11</v>
      </c>
      <c r="J11" s="5" t="s">
        <v>12</v>
      </c>
      <c r="K11" s="5" t="s">
        <v>13</v>
      </c>
      <c r="L11" s="26" t="s">
        <v>44</v>
      </c>
    </row>
    <row r="12" spans="1:15">
      <c r="B12" s="3">
        <v>1</v>
      </c>
      <c r="C12" s="3">
        <v>240</v>
      </c>
      <c r="D12" s="13">
        <v>2.2000000000000002</v>
      </c>
      <c r="E12" s="3">
        <v>420</v>
      </c>
      <c r="F12" s="3">
        <f>POWER(E12,2)</f>
        <v>176400</v>
      </c>
      <c r="H12" s="3">
        <v>1</v>
      </c>
      <c r="I12" s="11">
        <v>313</v>
      </c>
      <c r="J12" s="13">
        <v>2.97</v>
      </c>
      <c r="K12" s="11">
        <v>81</v>
      </c>
      <c r="L12" s="3">
        <f>POWER(K12,2)</f>
        <v>6561</v>
      </c>
    </row>
    <row r="13" spans="1:15">
      <c r="B13" s="3">
        <v>2</v>
      </c>
      <c r="C13" s="3">
        <v>176</v>
      </c>
      <c r="D13" s="13">
        <v>1.6</v>
      </c>
      <c r="E13" s="3">
        <v>380</v>
      </c>
      <c r="F13" s="3">
        <f t="shared" ref="F13:F21" si="0">POWER(E13,2)</f>
        <v>144400</v>
      </c>
      <c r="H13" s="3">
        <v>2</v>
      </c>
      <c r="I13" s="11">
        <v>226</v>
      </c>
      <c r="J13" s="13">
        <v>2.4900000000000002</v>
      </c>
      <c r="K13" s="11">
        <v>69.8</v>
      </c>
      <c r="L13" s="3">
        <f>POWER(K13,2)</f>
        <v>4872.04</v>
      </c>
    </row>
    <row r="14" spans="1:15">
      <c r="B14" s="3">
        <v>3</v>
      </c>
      <c r="C14" s="3">
        <v>137</v>
      </c>
      <c r="D14" s="13">
        <v>1.23</v>
      </c>
      <c r="E14" s="3">
        <v>340</v>
      </c>
      <c r="F14" s="3">
        <f t="shared" si="0"/>
        <v>115600</v>
      </c>
      <c r="H14" s="3">
        <v>3</v>
      </c>
      <c r="I14" s="11">
        <v>149</v>
      </c>
      <c r="J14" s="13">
        <v>2.0299999999999998</v>
      </c>
      <c r="K14" s="11">
        <v>57.2</v>
      </c>
      <c r="L14" s="3">
        <f>POWER(K14,2)</f>
        <v>3271.84</v>
      </c>
    </row>
    <row r="15" spans="1:15">
      <c r="B15" s="3">
        <v>4</v>
      </c>
      <c r="C15" s="3">
        <v>112</v>
      </c>
      <c r="D15" s="13">
        <v>0.97</v>
      </c>
      <c r="E15" s="3">
        <v>300</v>
      </c>
      <c r="F15" s="3">
        <f t="shared" si="0"/>
        <v>90000</v>
      </c>
      <c r="H15" s="3">
        <v>4</v>
      </c>
      <c r="I15" s="11">
        <v>83</v>
      </c>
      <c r="J15" s="13">
        <v>1.51</v>
      </c>
      <c r="K15" s="11">
        <v>43.6</v>
      </c>
      <c r="L15" s="3">
        <f>POWER(K15,2)</f>
        <v>1900.96</v>
      </c>
    </row>
    <row r="16" spans="1:15">
      <c r="B16" s="3">
        <v>5</v>
      </c>
      <c r="C16" s="3">
        <v>95</v>
      </c>
      <c r="D16" s="13">
        <v>0.78</v>
      </c>
      <c r="E16" s="3">
        <v>260</v>
      </c>
      <c r="F16" s="3">
        <f t="shared" si="0"/>
        <v>67600</v>
      </c>
      <c r="H16" s="3">
        <v>5</v>
      </c>
      <c r="I16" s="11">
        <v>37.6</v>
      </c>
      <c r="J16" s="13">
        <v>1.03</v>
      </c>
      <c r="K16" s="11">
        <v>30</v>
      </c>
      <c r="L16" s="3">
        <f>POWER(K16,2)</f>
        <v>900</v>
      </c>
    </row>
    <row r="17" spans="2:15">
      <c r="B17" s="3">
        <v>6</v>
      </c>
      <c r="C17" s="3">
        <v>82</v>
      </c>
      <c r="D17" s="13">
        <v>0.65</v>
      </c>
      <c r="E17" s="3">
        <v>220</v>
      </c>
      <c r="F17" s="3">
        <f t="shared" si="0"/>
        <v>48400</v>
      </c>
      <c r="H17" s="3"/>
      <c r="I17" s="11"/>
      <c r="J17" s="13"/>
      <c r="K17" s="11"/>
      <c r="L17" s="3"/>
    </row>
    <row r="18" spans="2:15">
      <c r="B18" s="3">
        <v>7</v>
      </c>
      <c r="C18" s="3">
        <v>73</v>
      </c>
      <c r="D18" s="13">
        <v>0.53</v>
      </c>
      <c r="E18" s="3">
        <v>180</v>
      </c>
      <c r="F18" s="3">
        <f t="shared" si="0"/>
        <v>32400</v>
      </c>
    </row>
    <row r="19" spans="2:15" ht="15.6">
      <c r="B19" s="3">
        <v>8</v>
      </c>
      <c r="C19" s="3">
        <v>67</v>
      </c>
      <c r="D19" s="13">
        <v>0.44</v>
      </c>
      <c r="E19" s="3">
        <v>140</v>
      </c>
      <c r="F19" s="3">
        <f t="shared" si="0"/>
        <v>19600</v>
      </c>
      <c r="H19" s="28" t="s">
        <v>17</v>
      </c>
      <c r="I19" s="28"/>
      <c r="J19" s="28"/>
      <c r="K19" s="28"/>
      <c r="L19" s="28"/>
      <c r="M19" s="28"/>
      <c r="N19" s="28"/>
      <c r="O19" s="23"/>
    </row>
    <row r="20" spans="2:15">
      <c r="B20" s="3">
        <v>9</v>
      </c>
      <c r="C20" s="24">
        <v>62</v>
      </c>
      <c r="D20" s="25">
        <v>0.46</v>
      </c>
      <c r="E20" s="24">
        <v>100</v>
      </c>
      <c r="F20" s="24">
        <f t="shared" si="0"/>
        <v>10000</v>
      </c>
    </row>
    <row r="21" spans="2:15" ht="18.600000000000001">
      <c r="B21" s="3">
        <v>10</v>
      </c>
      <c r="C21" s="24">
        <v>58</v>
      </c>
      <c r="D21" s="25">
        <v>0.59</v>
      </c>
      <c r="E21" s="24">
        <v>62</v>
      </c>
      <c r="F21" s="24">
        <f t="shared" si="0"/>
        <v>3844</v>
      </c>
      <c r="H21" s="4" t="s">
        <v>5</v>
      </c>
      <c r="I21" s="5" t="s">
        <v>18</v>
      </c>
      <c r="J21" s="5" t="s">
        <v>19</v>
      </c>
      <c r="K21" s="5" t="s">
        <v>20</v>
      </c>
      <c r="L21" s="5" t="s">
        <v>22</v>
      </c>
      <c r="M21" s="5" t="s">
        <v>23</v>
      </c>
      <c r="N21" s="5" t="s">
        <v>21</v>
      </c>
      <c r="O21" s="21"/>
    </row>
    <row r="22" spans="2:15">
      <c r="B22" s="3"/>
      <c r="C22" s="3"/>
      <c r="D22" s="13"/>
      <c r="E22" s="3"/>
      <c r="F22" s="3"/>
      <c r="H22" s="3">
        <v>1</v>
      </c>
      <c r="I22" s="3">
        <v>230</v>
      </c>
      <c r="J22" s="13">
        <v>1.66</v>
      </c>
      <c r="K22" s="3">
        <v>380</v>
      </c>
      <c r="L22" s="3">
        <v>11</v>
      </c>
      <c r="M22" s="3">
        <v>20</v>
      </c>
      <c r="N22" s="3">
        <v>2981</v>
      </c>
    </row>
    <row r="23" spans="2:15">
      <c r="B23" s="3"/>
      <c r="C23" s="3"/>
      <c r="D23" s="13"/>
      <c r="E23" s="3"/>
      <c r="F23" s="3"/>
      <c r="H23" s="3">
        <v>2</v>
      </c>
      <c r="I23" s="3">
        <v>413</v>
      </c>
      <c r="J23" s="13">
        <v>1.7</v>
      </c>
      <c r="K23" s="3">
        <v>380</v>
      </c>
      <c r="L23" s="3">
        <v>40</v>
      </c>
      <c r="M23" s="3">
        <v>20</v>
      </c>
      <c r="N23" s="3">
        <v>2965</v>
      </c>
    </row>
    <row r="24" spans="2:15">
      <c r="B24" s="3"/>
      <c r="C24" s="3"/>
      <c r="D24" s="13"/>
      <c r="E24" s="3"/>
      <c r="F24" s="3"/>
      <c r="H24" s="3">
        <v>3</v>
      </c>
      <c r="I24" s="1">
        <v>481</v>
      </c>
      <c r="J24" s="13">
        <v>1.75</v>
      </c>
      <c r="K24" s="3">
        <v>380</v>
      </c>
      <c r="L24" s="3">
        <v>50</v>
      </c>
      <c r="M24" s="3">
        <v>20</v>
      </c>
      <c r="N24" s="3">
        <v>2955</v>
      </c>
    </row>
    <row r="25" spans="2:15">
      <c r="B25" s="3"/>
      <c r="C25" s="3"/>
      <c r="D25" s="13"/>
      <c r="E25" s="3"/>
      <c r="F25" s="3"/>
      <c r="H25" s="3">
        <v>4</v>
      </c>
      <c r="I25" s="3">
        <v>647</v>
      </c>
      <c r="J25" s="13">
        <v>1.84</v>
      </c>
      <c r="K25" s="3">
        <v>380</v>
      </c>
      <c r="L25" s="3">
        <v>75</v>
      </c>
      <c r="M25" s="3">
        <v>20</v>
      </c>
      <c r="N25" s="3">
        <v>2936</v>
      </c>
    </row>
    <row r="26" spans="2:15">
      <c r="B26" s="3"/>
      <c r="C26" s="3"/>
      <c r="D26" s="13"/>
      <c r="E26" s="3"/>
      <c r="F26" s="3"/>
      <c r="H26" s="3">
        <v>5</v>
      </c>
      <c r="I26" s="3">
        <v>820</v>
      </c>
      <c r="J26" s="13">
        <v>2</v>
      </c>
      <c r="K26" s="3">
        <v>380</v>
      </c>
      <c r="L26" s="3">
        <v>100</v>
      </c>
      <c r="M26" s="3">
        <v>20</v>
      </c>
      <c r="N26" s="3">
        <v>2913</v>
      </c>
    </row>
    <row r="27" spans="2:15">
      <c r="B27" s="3"/>
      <c r="C27" s="3"/>
      <c r="D27" s="13"/>
      <c r="E27" s="3"/>
      <c r="F27" s="3"/>
      <c r="H27" s="3">
        <v>6</v>
      </c>
      <c r="I27" s="3">
        <v>1013</v>
      </c>
      <c r="J27" s="13">
        <v>2.2000000000000002</v>
      </c>
      <c r="K27" s="3">
        <v>380</v>
      </c>
      <c r="L27" s="3">
        <v>130</v>
      </c>
      <c r="M27" s="3">
        <v>20</v>
      </c>
      <c r="N27" s="3">
        <v>2887</v>
      </c>
    </row>
    <row r="29" spans="2:15">
      <c r="B29" s="15" t="s">
        <v>2</v>
      </c>
      <c r="C29" s="16"/>
      <c r="D29" s="2" t="s">
        <v>24</v>
      </c>
      <c r="E29" s="3">
        <v>6.85</v>
      </c>
      <c r="F29" s="1" t="s">
        <v>3</v>
      </c>
      <c r="G29" s="2" t="s">
        <v>25</v>
      </c>
      <c r="H29" s="3">
        <v>6.81</v>
      </c>
      <c r="I29" s="1" t="s">
        <v>3</v>
      </c>
      <c r="J29" s="2" t="s">
        <v>26</v>
      </c>
      <c r="K29" s="3">
        <v>6.98</v>
      </c>
      <c r="L29" s="1" t="s">
        <v>3</v>
      </c>
      <c r="M29" s="9" t="s">
        <v>46</v>
      </c>
      <c r="N29" s="13">
        <f>AVERAGE(E29:K29)</f>
        <v>6.88</v>
      </c>
      <c r="O29" s="1" t="s">
        <v>3</v>
      </c>
    </row>
    <row r="30" spans="2:15">
      <c r="B30" s="15" t="s">
        <v>15</v>
      </c>
      <c r="C30" s="16"/>
    </row>
  </sheetData>
  <mergeCells count="4">
    <mergeCell ref="H19:N19"/>
    <mergeCell ref="B9:E9"/>
    <mergeCell ref="B1:L1"/>
    <mergeCell ref="H9:K9"/>
  </mergeCells>
  <phoneticPr fontId="0" type="noConversion"/>
  <printOptions horizontalCentered="1" verticalCentered="1"/>
  <pageMargins left="0.19685039370078741" right="0.56999999999999995" top="0.98425196850393704" bottom="0.98425196850393704" header="0.51181102362204722" footer="0.51181102362204722"/>
  <pageSetup paperSize="9" scale="99" orientation="landscape" horizontalDpi="4294967292" verticalDpi="4294967292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2"/>
  <sheetViews>
    <sheetView topLeftCell="E8" zoomScaleNormal="100" zoomScaleSheetLayoutView="100" workbookViewId="0">
      <selection activeCell="K30" sqref="K30"/>
    </sheetView>
  </sheetViews>
  <sheetFormatPr defaultColWidth="10.875" defaultRowHeight="15"/>
  <cols>
    <col min="1" max="1" width="7.75" style="1" customWidth="1"/>
    <col min="2" max="2" width="7.375" style="1" customWidth="1"/>
    <col min="3" max="3" width="15.25" style="1" customWidth="1"/>
    <col min="4" max="4" width="13.75" style="1" customWidth="1"/>
    <col min="5" max="5" width="5.875" style="1" customWidth="1"/>
    <col min="6" max="6" width="9.875" style="1" customWidth="1"/>
    <col min="7" max="7" width="18.375" style="1" customWidth="1"/>
    <col min="8" max="8" width="17.375" style="1" customWidth="1"/>
    <col min="9" max="9" width="5.875" style="1" customWidth="1"/>
    <col min="10" max="10" width="14.25" style="1" customWidth="1"/>
    <col min="11" max="11" width="18.125" style="1" customWidth="1"/>
    <col min="12" max="12" width="18" style="1" customWidth="1"/>
    <col min="13" max="13" width="2.875" style="1" customWidth="1"/>
    <col min="14" max="16384" width="10.875" style="1"/>
  </cols>
  <sheetData>
    <row r="1" spans="1:21" ht="17.399999999999999" hidden="1">
      <c r="A1" s="27" t="s">
        <v>36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17"/>
      <c r="N1" s="30"/>
      <c r="O1" s="30"/>
      <c r="P1" s="30"/>
      <c r="Q1" s="30"/>
      <c r="R1" s="30"/>
      <c r="S1" s="30"/>
      <c r="T1" s="19"/>
      <c r="U1" s="19"/>
    </row>
    <row r="2" spans="1:21" ht="17.399999999999999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20"/>
      <c r="O2" s="20"/>
      <c r="P2" s="20"/>
      <c r="Q2" s="20"/>
      <c r="R2" s="20"/>
      <c r="S2" s="20"/>
      <c r="T2" s="19"/>
      <c r="U2" s="19"/>
    </row>
    <row r="4" spans="1:21">
      <c r="C4" s="9" t="s">
        <v>38</v>
      </c>
      <c r="D4" s="8"/>
      <c r="E4" s="6" t="s">
        <v>39</v>
      </c>
    </row>
    <row r="5" spans="1:21">
      <c r="C5" s="9" t="s">
        <v>40</v>
      </c>
      <c r="D5" s="8"/>
      <c r="E5" s="6" t="s">
        <v>41</v>
      </c>
    </row>
    <row r="7" spans="1:21" s="10" customFormat="1" ht="13.8">
      <c r="B7" s="29" t="s">
        <v>9</v>
      </c>
      <c r="C7" s="29"/>
      <c r="D7" s="29"/>
      <c r="F7" s="29" t="s">
        <v>28</v>
      </c>
      <c r="G7" s="29"/>
      <c r="H7" s="29"/>
      <c r="J7" s="29" t="s">
        <v>29</v>
      </c>
      <c r="K7" s="29"/>
      <c r="L7" s="29"/>
      <c r="M7" s="18"/>
    </row>
    <row r="9" spans="1:21">
      <c r="B9" s="4" t="s">
        <v>5</v>
      </c>
      <c r="C9" s="5" t="s">
        <v>37</v>
      </c>
      <c r="D9" s="5" t="s">
        <v>35</v>
      </c>
      <c r="F9" s="4" t="s">
        <v>5</v>
      </c>
      <c r="G9" s="5" t="s">
        <v>27</v>
      </c>
      <c r="H9" s="5" t="s">
        <v>35</v>
      </c>
      <c r="J9" s="4" t="s">
        <v>5</v>
      </c>
      <c r="K9" s="5" t="s">
        <v>27</v>
      </c>
      <c r="L9" s="5" t="s">
        <v>37</v>
      </c>
      <c r="M9" s="21"/>
    </row>
    <row r="10" spans="1:21" ht="21" customHeight="1">
      <c r="B10" s="3">
        <v>1</v>
      </c>
      <c r="C10" s="11">
        <v>0</v>
      </c>
      <c r="D10" s="11">
        <v>6.4</v>
      </c>
      <c r="F10" s="3">
        <v>1</v>
      </c>
      <c r="G10" s="12">
        <v>0.59</v>
      </c>
      <c r="H10" s="13">
        <v>215.6</v>
      </c>
      <c r="J10" s="3">
        <v>1</v>
      </c>
      <c r="K10" s="12">
        <v>0.60599999999999998</v>
      </c>
      <c r="L10" s="13">
        <v>122.5</v>
      </c>
      <c r="M10" s="22"/>
    </row>
    <row r="11" spans="1:21" ht="21" customHeight="1">
      <c r="B11" s="3">
        <v>2</v>
      </c>
      <c r="C11" s="11">
        <v>18</v>
      </c>
      <c r="D11" s="11">
        <v>55.3</v>
      </c>
      <c r="F11" s="3">
        <v>2</v>
      </c>
      <c r="G11" s="12">
        <v>0.84</v>
      </c>
      <c r="H11" s="13">
        <v>213.28</v>
      </c>
      <c r="J11" s="3">
        <v>2</v>
      </c>
      <c r="K11" s="12">
        <v>0.86499999999999999</v>
      </c>
      <c r="L11" s="13">
        <v>126.35</v>
      </c>
      <c r="M11" s="22"/>
    </row>
    <row r="12" spans="1:21" ht="21" customHeight="1">
      <c r="B12" s="3">
        <v>3</v>
      </c>
      <c r="C12" s="11">
        <v>24.8</v>
      </c>
      <c r="D12" s="11">
        <v>75.900000000000006</v>
      </c>
      <c r="F12" s="3">
        <v>3</v>
      </c>
      <c r="G12" s="12">
        <v>1.377</v>
      </c>
      <c r="H12" s="13">
        <v>206.6</v>
      </c>
      <c r="J12" s="3">
        <v>3</v>
      </c>
      <c r="K12" s="12">
        <v>1.46</v>
      </c>
      <c r="L12" s="13">
        <v>142.15</v>
      </c>
      <c r="M12" s="22"/>
    </row>
    <row r="13" spans="1:21" ht="21" customHeight="1">
      <c r="B13" s="3">
        <v>4</v>
      </c>
      <c r="C13" s="11">
        <v>35</v>
      </c>
      <c r="D13" s="11">
        <v>107</v>
      </c>
      <c r="F13" s="3">
        <v>4</v>
      </c>
      <c r="G13" s="12">
        <v>1.98</v>
      </c>
      <c r="H13" s="13">
        <v>198.5</v>
      </c>
      <c r="J13" s="3">
        <v>4</v>
      </c>
      <c r="K13" s="12">
        <v>2.1859999999999999</v>
      </c>
      <c r="L13" s="13">
        <v>166.05</v>
      </c>
      <c r="M13" s="22"/>
    </row>
    <row r="14" spans="1:21" ht="21" customHeight="1">
      <c r="B14" s="3">
        <v>5</v>
      </c>
      <c r="C14" s="11">
        <v>47.8</v>
      </c>
      <c r="D14" s="11">
        <v>126.6</v>
      </c>
      <c r="F14" s="3">
        <v>5</v>
      </c>
      <c r="G14" s="12">
        <v>2.5</v>
      </c>
      <c r="H14" s="13">
        <v>187.78</v>
      </c>
      <c r="J14" s="3">
        <v>5</v>
      </c>
      <c r="K14" s="12">
        <v>3.05</v>
      </c>
      <c r="L14" s="13">
        <v>208.82</v>
      </c>
      <c r="M14" s="22"/>
    </row>
    <row r="15" spans="1:21" ht="21" customHeight="1">
      <c r="B15" s="3">
        <v>6</v>
      </c>
      <c r="C15" s="11">
        <v>55.7</v>
      </c>
      <c r="D15" s="11">
        <v>152.6</v>
      </c>
      <c r="F15" s="3">
        <v>6</v>
      </c>
      <c r="G15" s="12">
        <v>3.42</v>
      </c>
      <c r="H15" s="13">
        <v>172.5</v>
      </c>
      <c r="J15" s="3">
        <v>6</v>
      </c>
      <c r="K15" s="12">
        <v>3.95</v>
      </c>
      <c r="L15" s="13">
        <v>273</v>
      </c>
      <c r="M15" s="22"/>
    </row>
    <row r="16" spans="1:21" ht="21" customHeight="1">
      <c r="B16" s="3">
        <v>7</v>
      </c>
      <c r="C16" s="11">
        <v>68.7</v>
      </c>
      <c r="D16" s="11">
        <v>175.7</v>
      </c>
    </row>
    <row r="17" spans="2:13" ht="21" customHeight="1">
      <c r="B17" s="3">
        <v>8</v>
      </c>
      <c r="C17" s="11">
        <v>89.39</v>
      </c>
      <c r="D17" s="11">
        <v>201</v>
      </c>
      <c r="G17" s="9"/>
      <c r="H17" s="6"/>
      <c r="I17" s="6"/>
    </row>
    <row r="18" spans="2:13" ht="21" customHeight="1">
      <c r="B18" s="3">
        <v>9</v>
      </c>
      <c r="C18" s="11">
        <v>116.35</v>
      </c>
      <c r="D18" s="11">
        <v>222.4</v>
      </c>
      <c r="G18" s="9"/>
      <c r="H18" s="6"/>
      <c r="I18" s="6"/>
    </row>
    <row r="19" spans="2:13" ht="21" customHeight="1">
      <c r="B19" s="3">
        <v>10</v>
      </c>
      <c r="C19" s="11">
        <v>195</v>
      </c>
      <c r="D19" s="11">
        <v>250.1</v>
      </c>
    </row>
    <row r="21" spans="2:13" ht="20.399999999999999" customHeight="1">
      <c r="B21" s="9" t="s">
        <v>30</v>
      </c>
      <c r="C21" s="7">
        <v>3000</v>
      </c>
      <c r="D21" s="6" t="s">
        <v>32</v>
      </c>
      <c r="F21" s="9" t="s">
        <v>30</v>
      </c>
      <c r="G21" s="7">
        <v>3000</v>
      </c>
      <c r="H21" s="6" t="s">
        <v>32</v>
      </c>
      <c r="I21" s="2"/>
      <c r="J21" s="9" t="s">
        <v>30</v>
      </c>
      <c r="K21" s="7">
        <v>3000</v>
      </c>
      <c r="L21" s="6" t="s">
        <v>32</v>
      </c>
      <c r="M21" s="6"/>
    </row>
    <row r="22" spans="2:13" ht="20.399999999999999" customHeight="1">
      <c r="B22" s="9"/>
      <c r="C22" s="6"/>
      <c r="D22" s="6"/>
      <c r="F22" s="9" t="s">
        <v>31</v>
      </c>
      <c r="G22" s="14">
        <v>110</v>
      </c>
      <c r="H22" s="6" t="s">
        <v>42</v>
      </c>
      <c r="J22" s="9" t="s">
        <v>33</v>
      </c>
      <c r="K22" s="14">
        <v>220</v>
      </c>
      <c r="L22" s="6" t="s">
        <v>34</v>
      </c>
      <c r="M22" s="6"/>
    </row>
  </sheetData>
  <mergeCells count="5">
    <mergeCell ref="A1:L1"/>
    <mergeCell ref="F7:H7"/>
    <mergeCell ref="J7:L7"/>
    <mergeCell ref="B7:D7"/>
    <mergeCell ref="N1:S1"/>
  </mergeCells>
  <phoneticPr fontId="0" type="noConversion"/>
  <printOptions horizontalCentered="1" verticalCentered="1"/>
  <pageMargins left="0.19685039370078741" right="0.56999999999999995" top="0.98425196850393704" bottom="0.98425196850393704" header="0.51181102362204722" footer="0.51181102362204722"/>
  <pageSetup paperSize="9" orientation="landscape" horizontalDpi="4294967292" vertic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Trafo</vt:lpstr>
      <vt:lpstr>Sincrono</vt:lpstr>
      <vt:lpstr>Corrente continua</vt:lpstr>
      <vt:lpstr>Asincrono</vt:lpstr>
      <vt:lpstr>Corrente continua (dati)</vt:lpstr>
      <vt:lpstr>Asincrono!Print_Area</vt:lpstr>
      <vt:lpstr>'Corrente continua'!Print_Area</vt:lpstr>
      <vt:lpstr>'Corrente continua (dati)'!Print_Area</vt:lpstr>
    </vt:vector>
  </TitlesOfParts>
  <Company>D.E.E. Politecnico di Bari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Giacomo Spinelli</dc:creator>
  <cp:lastModifiedBy>DI SPIRITO DANIELE</cp:lastModifiedBy>
  <cp:lastPrinted>2003-06-19T14:42:53Z</cp:lastPrinted>
  <dcterms:created xsi:type="dcterms:W3CDTF">2001-01-17T11:59:13Z</dcterms:created>
  <dcterms:modified xsi:type="dcterms:W3CDTF">2026-04-01T10:48:07Z</dcterms:modified>
</cp:coreProperties>
</file>