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ie\uni\terzo_anno\misurazione\es_laboratorio\"/>
    </mc:Choice>
  </mc:AlternateContent>
  <xr:revisionPtr revIDLastSave="0" documentId="13_ncr:1_{D7010B3D-7B77-4BCD-91FA-F685D548FF1D}" xr6:coauthVersionLast="47" xr6:coauthVersionMax="47" xr10:uidLastSave="{00000000-0000-0000-0000-000000000000}"/>
  <bookViews>
    <workbookView xWindow="-108" yWindow="-108" windowWidth="23256" windowHeight="13176" firstSheet="2" activeTab="4" xr2:uid="{00000000-000D-0000-FFFF-FFFF00000000}"/>
  </bookViews>
  <sheets>
    <sheet name="Tabella Valori" sheetId="3" r:id="rId1"/>
    <sheet name="Incertezze misure dirette 1" sheetId="5" r:id="rId2"/>
    <sheet name="Incertezze misure dirette 2" sheetId="1" r:id="rId3"/>
    <sheet name="Incertezze misure dirette 3" sheetId="6" r:id="rId4"/>
    <sheet name="Misure indirette" sheetId="2" r:id="rId5"/>
    <sheet name="Note (eventuali)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3" i="2"/>
  <c r="G4" i="2"/>
  <c r="G5" i="2"/>
  <c r="G6" i="2"/>
  <c r="G7" i="2"/>
  <c r="G8" i="2"/>
  <c r="G3" i="2"/>
  <c r="E4" i="2"/>
  <c r="E5" i="2"/>
  <c r="E6" i="2"/>
  <c r="E7" i="2"/>
  <c r="E8" i="2"/>
  <c r="E3" i="2"/>
  <c r="C4" i="2"/>
  <c r="C5" i="2"/>
  <c r="C6" i="2"/>
  <c r="C7" i="2"/>
  <c r="C8" i="2"/>
  <c r="C3" i="2"/>
  <c r="B12" i="2"/>
  <c r="B13" i="2"/>
  <c r="B14" i="2"/>
  <c r="B15" i="2"/>
  <c r="B16" i="2"/>
  <c r="B11" i="2"/>
  <c r="C12" i="2"/>
  <c r="C13" i="2"/>
  <c r="C14" i="2"/>
  <c r="C15" i="2"/>
  <c r="C16" i="2"/>
  <c r="C11" i="2"/>
  <c r="B3" i="2"/>
  <c r="I3" i="6"/>
  <c r="H3" i="6"/>
  <c r="G3" i="6"/>
  <c r="F4" i="6"/>
  <c r="F3" i="6"/>
  <c r="L4" i="1"/>
  <c r="L5" i="1"/>
  <c r="L6" i="1"/>
  <c r="L7" i="1"/>
  <c r="L8" i="1"/>
  <c r="L3" i="1"/>
  <c r="K4" i="1"/>
  <c r="K5" i="1"/>
  <c r="K6" i="1"/>
  <c r="F6" i="2" s="1"/>
  <c r="K7" i="1"/>
  <c r="K8" i="1"/>
  <c r="K3" i="1"/>
  <c r="J4" i="1"/>
  <c r="J5" i="1"/>
  <c r="J6" i="1"/>
  <c r="J7" i="1"/>
  <c r="J8" i="1"/>
  <c r="J3" i="1"/>
  <c r="B12" i="1"/>
  <c r="B13" i="1"/>
  <c r="B14" i="1"/>
  <c r="B15" i="1"/>
  <c r="B16" i="1"/>
  <c r="B11" i="1"/>
  <c r="D12" i="1"/>
  <c r="D13" i="1"/>
  <c r="D14" i="1"/>
  <c r="D15" i="1"/>
  <c r="D16" i="1"/>
  <c r="D11" i="1"/>
  <c r="C12" i="1"/>
  <c r="C13" i="1"/>
  <c r="C14" i="1"/>
  <c r="C15" i="1"/>
  <c r="C16" i="1"/>
  <c r="C11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D4" i="1"/>
  <c r="D5" i="1"/>
  <c r="D6" i="1"/>
  <c r="D7" i="1"/>
  <c r="D8" i="1"/>
  <c r="D3" i="1"/>
  <c r="I4" i="5"/>
  <c r="I5" i="5"/>
  <c r="I6" i="5"/>
  <c r="I7" i="5"/>
  <c r="I8" i="5"/>
  <c r="I3" i="5"/>
  <c r="H4" i="5"/>
  <c r="H5" i="5"/>
  <c r="H6" i="5"/>
  <c r="H7" i="5"/>
  <c r="H8" i="5"/>
  <c r="H3" i="5"/>
  <c r="D3" i="2"/>
  <c r="G4" i="5"/>
  <c r="G5" i="5"/>
  <c r="G6" i="5"/>
  <c r="G7" i="5"/>
  <c r="G8" i="5"/>
  <c r="G3" i="5"/>
  <c r="F4" i="5"/>
  <c r="F5" i="5"/>
  <c r="F6" i="5"/>
  <c r="F7" i="5"/>
  <c r="F8" i="5"/>
  <c r="F3" i="5"/>
  <c r="D35" i="3"/>
  <c r="D34" i="3"/>
  <c r="D40" i="3" s="1"/>
  <c r="D38" i="3"/>
  <c r="D39" i="3"/>
  <c r="D41" i="3"/>
  <c r="D42" i="3"/>
  <c r="D37" i="3"/>
  <c r="E23" i="3"/>
  <c r="E24" i="3"/>
  <c r="E25" i="3"/>
  <c r="B6" i="2" s="1"/>
  <c r="E26" i="3"/>
  <c r="B7" i="2" s="1"/>
  <c r="E27" i="3"/>
  <c r="B8" i="2" s="1"/>
  <c r="E22" i="3"/>
  <c r="D23" i="3"/>
  <c r="D24" i="3"/>
  <c r="D25" i="3"/>
  <c r="D26" i="3"/>
  <c r="D27" i="3"/>
  <c r="D22" i="3"/>
  <c r="D15" i="3"/>
  <c r="D14" i="3"/>
  <c r="D13" i="3"/>
  <c r="D12" i="3"/>
  <c r="D11" i="3"/>
  <c r="D10" i="3"/>
  <c r="D8" i="3"/>
  <c r="D7" i="3"/>
  <c r="C3" i="6"/>
  <c r="B5" i="5"/>
  <c r="B4" i="2"/>
  <c r="B5" i="2"/>
  <c r="F4" i="2"/>
  <c r="F5" i="2"/>
  <c r="F7" i="2"/>
  <c r="F8" i="2"/>
  <c r="F3" i="2"/>
  <c r="D4" i="2"/>
  <c r="D5" i="2"/>
  <c r="D6" i="2"/>
  <c r="D7" i="2"/>
  <c r="D8" i="2"/>
  <c r="C4" i="6"/>
  <c r="G4" i="6" s="1"/>
  <c r="H4" i="6" s="1"/>
  <c r="I4" i="6" s="1"/>
  <c r="B4" i="6"/>
  <c r="B3" i="6"/>
  <c r="B4" i="1"/>
  <c r="C4" i="1"/>
  <c r="B5" i="1"/>
  <c r="C5" i="1"/>
  <c r="B6" i="1"/>
  <c r="C6" i="1"/>
  <c r="B7" i="1"/>
  <c r="C7" i="1"/>
  <c r="B8" i="1"/>
  <c r="C8" i="1"/>
  <c r="C3" i="1"/>
  <c r="B3" i="1"/>
  <c r="B4" i="5"/>
  <c r="C4" i="5"/>
  <c r="C5" i="5"/>
  <c r="B6" i="5"/>
  <c r="C6" i="5"/>
  <c r="B7" i="5"/>
  <c r="C7" i="5"/>
  <c r="B8" i="5"/>
  <c r="C8" i="5"/>
  <c r="C3" i="5"/>
  <c r="B3" i="5"/>
</calcChain>
</file>

<file path=xl/sharedStrings.xml><?xml version="1.0" encoding="utf-8"?>
<sst xmlns="http://schemas.openxmlformats.org/spreadsheetml/2006/main" count="167" uniqueCount="116">
  <si>
    <t>MISURE DIRETTE CON MULTIMETRO</t>
  </si>
  <si>
    <t>Da prendere in Laboratorio</t>
  </si>
  <si>
    <t>Grandezza</t>
  </si>
  <si>
    <t>Descrizione grandezza</t>
  </si>
  <si>
    <t>Vm1</t>
  </si>
  <si>
    <t>Valore medio segnale 1</t>
  </si>
  <si>
    <t>Vm2</t>
  </si>
  <si>
    <t>Valore medio segnale 2</t>
  </si>
  <si>
    <t>Vm3</t>
  </si>
  <si>
    <t>Valore medio segnale 3</t>
  </si>
  <si>
    <t>Vm4</t>
  </si>
  <si>
    <t>Valore medio segnale 4</t>
  </si>
  <si>
    <t>Vm5</t>
  </si>
  <si>
    <t>Valore medio segnale 5</t>
  </si>
  <si>
    <t>Vm6</t>
  </si>
  <si>
    <t>Valore medio segnale 6</t>
  </si>
  <si>
    <t>VACrms1</t>
  </si>
  <si>
    <t xml:space="preserve">Valore efficace della componente  AC del segnale 1 </t>
  </si>
  <si>
    <t>VACrms2</t>
  </si>
  <si>
    <t>Valore efficace della componente  AC del segnale 2</t>
  </si>
  <si>
    <t>VACrms3</t>
  </si>
  <si>
    <t>Valore efficace della componente  AC del segnale 3</t>
  </si>
  <si>
    <t>VACrms4</t>
  </si>
  <si>
    <t>Valore efficace della componente  AC del segnale 4</t>
  </si>
  <si>
    <t>VACrms5</t>
  </si>
  <si>
    <t>Valore efficace della componente  AC del segnale 5</t>
  </si>
  <si>
    <t>VACrms6</t>
  </si>
  <si>
    <t>Valore efficace della componente  AC del segnale 6</t>
  </si>
  <si>
    <t>Rgen</t>
  </si>
  <si>
    <t>Resistenza interna del generatore di segnale</t>
  </si>
  <si>
    <t>R2</t>
  </si>
  <si>
    <t xml:space="preserve">MISURE INDIRETTE </t>
  </si>
  <si>
    <t>VDCrms1</t>
  </si>
  <si>
    <t>VDCrms2</t>
  </si>
  <si>
    <t>VDCrms3</t>
  </si>
  <si>
    <t>VDCrms4</t>
  </si>
  <si>
    <t>VDCrms5</t>
  </si>
  <si>
    <t>VDCrms6</t>
  </si>
  <si>
    <t>DATI PER IL CALCOLO DEL FATTORE DI CRESTA</t>
  </si>
  <si>
    <t>Vmax1</t>
  </si>
  <si>
    <t>Tensione di picco segnale 1</t>
  </si>
  <si>
    <t>Vmax2</t>
  </si>
  <si>
    <t>Tensione di picco segnale 2</t>
  </si>
  <si>
    <t>Vmax3</t>
  </si>
  <si>
    <t>Tensione di picco segnale 3</t>
  </si>
  <si>
    <t>Vmax4</t>
  </si>
  <si>
    <t>Tensione di picco segnale 4</t>
  </si>
  <si>
    <t>Vmax5</t>
  </si>
  <si>
    <t>Tensione di picco segnale 5</t>
  </si>
  <si>
    <t>Vmax6</t>
  </si>
  <si>
    <t>Tensione di picco segnale 6</t>
  </si>
  <si>
    <t>CF1</t>
  </si>
  <si>
    <t>Fattore di cresta segnale 1</t>
  </si>
  <si>
    <t>CF2</t>
  </si>
  <si>
    <t>Fattore di cresta segnale 2</t>
  </si>
  <si>
    <t>CF3</t>
  </si>
  <si>
    <t>Fattore di cresta segnale 3</t>
  </si>
  <si>
    <t>CF4</t>
  </si>
  <si>
    <t>Fattore di cresta segnale 4</t>
  </si>
  <si>
    <t>CF5</t>
  </si>
  <si>
    <t>Fattore di cresta segnale 5</t>
  </si>
  <si>
    <t>CF6</t>
  </si>
  <si>
    <t>Fattore di cresta segnale 6</t>
  </si>
  <si>
    <t>da specifiche multimetro</t>
  </si>
  <si>
    <t>da calcolare</t>
  </si>
  <si>
    <t>Valore (V)</t>
  </si>
  <si>
    <t>Portata (V)</t>
  </si>
  <si>
    <t>Incertezza totale
U (V)</t>
  </si>
  <si>
    <t>Valore (Ω)</t>
  </si>
  <si>
    <t>Portata (Ω)</t>
  </si>
  <si>
    <r>
      <t>Incertezza totale
U (</t>
    </r>
    <r>
      <rPr>
        <b/>
        <sz val="11"/>
        <color theme="1"/>
        <rFont val="Symbol"/>
        <family val="1"/>
        <charset val="2"/>
      </rPr>
      <t>W</t>
    </r>
    <r>
      <rPr>
        <b/>
        <sz val="11"/>
        <color theme="1"/>
        <rFont val="Syastro"/>
      </rPr>
      <t>)</t>
    </r>
  </si>
  <si>
    <t>c1</t>
  </si>
  <si>
    <t>c2</t>
  </si>
  <si>
    <t>Note</t>
  </si>
  <si>
    <t>Testo nota 1</t>
  </si>
  <si>
    <t>Testo nota 2</t>
  </si>
  <si>
    <t>Testo nota 3</t>
  </si>
  <si>
    <t xml:space="preserve">                                </t>
  </si>
  <si>
    <t>Resistenza con aggiunta di tensione</t>
  </si>
  <si>
    <t xml:space="preserve"> %reading 
Ur_read_pc</t>
  </si>
  <si>
    <t>Incertezza "reading"
U_read (V)</t>
  </si>
  <si>
    <t>Incertezza relativa (%)
Ur_pc</t>
  </si>
  <si>
    <t>Incertezza "range" 
U_range (V)</t>
  </si>
  <si>
    <t>Incertezza "CF" 
U_CF (V)</t>
  </si>
  <si>
    <t>Incertezza "BW" 
U_BW (V)</t>
  </si>
  <si>
    <t>CF error %reading
Ur_CF_pc</t>
  </si>
  <si>
    <r>
      <t>Incertezza "reading"
U_read (</t>
    </r>
    <r>
      <rPr>
        <b/>
        <sz val="11"/>
        <color theme="1"/>
        <rFont val="Symbol"/>
        <family val="1"/>
        <charset val="2"/>
      </rPr>
      <t>W</t>
    </r>
    <r>
      <rPr>
        <b/>
        <sz val="11"/>
        <color theme="1"/>
        <rFont val="Calibri"/>
        <family val="2"/>
        <scheme val="minor"/>
      </rPr>
      <t>)</t>
    </r>
  </si>
  <si>
    <r>
      <t>Incertezza "range" 
U_range (</t>
    </r>
    <r>
      <rPr>
        <b/>
        <sz val="11"/>
        <color theme="1"/>
        <rFont val="Symbol"/>
        <family val="1"/>
        <charset val="2"/>
      </rPr>
      <t>W</t>
    </r>
    <r>
      <rPr>
        <b/>
        <sz val="11"/>
        <color theme="1"/>
        <rFont val="Calibri"/>
        <family val="2"/>
        <scheme val="minor"/>
      </rPr>
      <t>)</t>
    </r>
  </si>
  <si>
    <t>Incertezza 
U (V)</t>
  </si>
  <si>
    <t>Incertezza relativa %
Ur_pc</t>
  </si>
  <si>
    <t>Incertezza 
U1 (V)</t>
  </si>
  <si>
    <t>Incertezza 
U2 (V)</t>
  </si>
  <si>
    <t>valore efficace inclusa la componente DC, segnale 1</t>
  </si>
  <si>
    <t>valore efficace inclusa la componente DC, segnale 2</t>
  </si>
  <si>
    <t>valore efficace inclusa la componente DC, segnale 3</t>
  </si>
  <si>
    <t>valore efficace inclusa la componente DC, segnale 4</t>
  </si>
  <si>
    <t>valore efficace inclusa la componente DC, segnale 5</t>
  </si>
  <si>
    <t>valore efficace inclusa la componente DC, segnale 6</t>
  </si>
  <si>
    <r>
      <t xml:space="preserve">Valore teorico (V oppure </t>
    </r>
    <r>
      <rPr>
        <b/>
        <sz val="11"/>
        <color theme="1"/>
        <rFont val="Calibri"/>
        <family val="2"/>
      </rPr>
      <t>Ω)</t>
    </r>
  </si>
  <si>
    <t xml:space="preserve">Valore misurato (V oppure Ω) </t>
  </si>
  <si>
    <r>
      <t xml:space="preserve">Portata (V oppure </t>
    </r>
    <r>
      <rPr>
        <b/>
        <sz val="11"/>
        <color theme="1"/>
        <rFont val="Calibri"/>
        <family val="2"/>
      </rPr>
      <t>Ω)</t>
    </r>
  </si>
  <si>
    <t>%range
U_range_pcFS</t>
  </si>
  <si>
    <t xml:space="preserve">Valore misurato (V ) </t>
  </si>
  <si>
    <r>
      <t xml:space="preserve">Valore teorico (V </t>
    </r>
    <r>
      <rPr>
        <b/>
        <sz val="11"/>
        <color theme="1"/>
        <rFont val="Calibri"/>
        <family val="2"/>
      </rPr>
      <t>)</t>
    </r>
  </si>
  <si>
    <r>
      <t>Valore teorico (V  o adimensionali</t>
    </r>
    <r>
      <rPr>
        <b/>
        <sz val="11"/>
        <color theme="1"/>
        <rFont val="Calibri"/>
        <family val="2"/>
      </rPr>
      <t>)</t>
    </r>
  </si>
  <si>
    <t>CF</t>
  </si>
  <si>
    <t>Segnale 1</t>
  </si>
  <si>
    <t>Segnale 2</t>
  </si>
  <si>
    <t>Segnale 3</t>
  </si>
  <si>
    <t>Segnale 4</t>
  </si>
  <si>
    <t>Segnale 5</t>
  </si>
  <si>
    <t>Segnale 6</t>
  </si>
  <si>
    <t>BW</t>
  </si>
  <si>
    <t>f</t>
  </si>
  <si>
    <t>Vm</t>
  </si>
  <si>
    <t>Vacrms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</si>
</sst>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0.0000"/>
    <numFmt numFmtId="186" formatCode="0.000000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Syastro"/>
    </font>
  </fonts>
  <fills count="9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" fillId="4" borderId="27" xfId="0" applyFont="1" applyFill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9" xfId="0" applyFont="1" applyBorder="1" applyAlignment="1">
      <alignment horizontal="center" wrapText="1"/>
    </xf>
    <xf numFmtId="0" fontId="1" fillId="2" borderId="30" xfId="0" applyFont="1" applyFill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wrapText="1"/>
    </xf>
    <xf numFmtId="0" fontId="1" fillId="7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1" fillId="5" borderId="33" xfId="0" applyFont="1" applyFill="1" applyBorder="1" applyAlignment="1">
      <alignment horizontal="center" wrapText="1"/>
    </xf>
    <xf numFmtId="0" fontId="1" fillId="5" borderId="30" xfId="0" applyFont="1" applyFill="1" applyBorder="1" applyAlignment="1">
      <alignment horizontal="center" wrapText="1"/>
    </xf>
    <xf numFmtId="0" fontId="1" fillId="7" borderId="33" xfId="0" applyFont="1" applyFill="1" applyBorder="1" applyAlignment="1">
      <alignment horizontal="center" wrapText="1"/>
    </xf>
    <xf numFmtId="0" fontId="1" fillId="7" borderId="30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0" fillId="6" borderId="9" xfId="0" applyFill="1" applyBorder="1" applyAlignment="1">
      <alignment horizontal="center"/>
    </xf>
    <xf numFmtId="0" fontId="1" fillId="8" borderId="9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horizontal="center"/>
    </xf>
    <xf numFmtId="0" fontId="0" fillId="0" borderId="33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left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2" xfId="0" applyBorder="1"/>
    <xf numFmtId="0" fontId="1" fillId="3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86" fontId="0" fillId="0" borderId="33" xfId="0" applyNumberFormat="1" applyBorder="1" applyAlignment="1" applyProtection="1">
      <alignment horizontal="center" vertical="center"/>
      <protection locked="0"/>
    </xf>
    <xf numFmtId="186" fontId="0" fillId="0" borderId="9" xfId="0" applyNumberFormat="1" applyBorder="1" applyAlignment="1" applyProtection="1">
      <alignment horizontal="center"/>
      <protection locked="0"/>
    </xf>
    <xf numFmtId="0" fontId="0" fillId="0" borderId="33" xfId="0" applyFont="1" applyBorder="1" applyAlignment="1" applyProtection="1">
      <alignment horizontal="center" vertical="center"/>
      <protection locked="0"/>
    </xf>
    <xf numFmtId="0" fontId="0" fillId="0" borderId="9" xfId="0" applyFont="1" applyBorder="1" applyAlignment="1" applyProtection="1">
      <alignment horizontal="center" vertical="center"/>
      <protection locked="0"/>
    </xf>
    <xf numFmtId="0" fontId="0" fillId="0" borderId="30" xfId="0" applyFont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0" borderId="36" xfId="0" applyBorder="1" applyAlignment="1">
      <alignment horizontal="center"/>
    </xf>
    <xf numFmtId="16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2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DBC2-F6F1-4C3F-86B8-14C08FFA2B02}">
  <dimension ref="B1:S43"/>
  <sheetViews>
    <sheetView zoomScale="110" zoomScaleNormal="110" workbookViewId="0">
      <selection activeCell="F20" sqref="F20"/>
    </sheetView>
  </sheetViews>
  <sheetFormatPr defaultColWidth="9.109375" defaultRowHeight="14.4"/>
  <cols>
    <col min="1" max="1" width="6" style="1" customWidth="1"/>
    <col min="2" max="2" width="17.88671875" style="1" customWidth="1"/>
    <col min="3" max="3" width="46.33203125" style="1" customWidth="1"/>
    <col min="4" max="4" width="26" style="5" customWidth="1"/>
    <col min="5" max="5" width="29.109375" style="5" customWidth="1"/>
    <col min="6" max="6" width="25.44140625" style="5" customWidth="1"/>
    <col min="7" max="16384" width="9.109375" style="1"/>
  </cols>
  <sheetData>
    <row r="1" spans="2:19" ht="15" thickBot="1"/>
    <row r="2" spans="2:19" s="3" customFormat="1">
      <c r="B2" s="30" t="s">
        <v>0</v>
      </c>
      <c r="C2" s="31"/>
      <c r="D2" s="29"/>
      <c r="E2" s="70" t="s">
        <v>1</v>
      </c>
      <c r="F2" s="71"/>
    </row>
    <row r="3" spans="2:19">
      <c r="B3" s="9" t="s">
        <v>2</v>
      </c>
      <c r="C3" s="17" t="s">
        <v>3</v>
      </c>
      <c r="D3" s="28" t="s">
        <v>98</v>
      </c>
      <c r="E3" s="10" t="s">
        <v>99</v>
      </c>
      <c r="F3" s="40" t="s">
        <v>100</v>
      </c>
      <c r="Q3"/>
      <c r="R3"/>
      <c r="S3"/>
    </row>
    <row r="4" spans="2:19">
      <c r="B4" s="6" t="s">
        <v>4</v>
      </c>
      <c r="C4" s="18" t="s">
        <v>5</v>
      </c>
      <c r="D4" s="79">
        <v>0</v>
      </c>
      <c r="E4" s="78">
        <v>-1.7799999999999999E-3</v>
      </c>
      <c r="F4" s="7">
        <v>10</v>
      </c>
      <c r="Q4"/>
      <c r="R4"/>
      <c r="S4"/>
    </row>
    <row r="5" spans="2:19">
      <c r="B5" s="6" t="s">
        <v>6</v>
      </c>
      <c r="C5" s="18" t="s">
        <v>7</v>
      </c>
      <c r="D5" s="79">
        <v>0</v>
      </c>
      <c r="E5" s="79">
        <v>-1.2099999999999999E-3</v>
      </c>
      <c r="F5" s="7">
        <v>10</v>
      </c>
      <c r="Q5"/>
      <c r="R5"/>
      <c r="S5"/>
    </row>
    <row r="6" spans="2:19">
      <c r="B6" s="6" t="s">
        <v>8</v>
      </c>
      <c r="C6" s="18" t="s">
        <v>9</v>
      </c>
      <c r="D6" s="79">
        <v>0</v>
      </c>
      <c r="E6" s="79">
        <v>-1.4499999999999999E-3</v>
      </c>
      <c r="F6" s="7">
        <v>10</v>
      </c>
      <c r="Q6"/>
      <c r="R6"/>
      <c r="S6"/>
    </row>
    <row r="7" spans="2:19">
      <c r="B7" s="6" t="s">
        <v>10</v>
      </c>
      <c r="C7" s="18" t="s">
        <v>11</v>
      </c>
      <c r="D7" s="79">
        <f>2*(0.3)-2*(1-0.3)</f>
        <v>-0.79999999999999993</v>
      </c>
      <c r="E7" s="79">
        <v>-0.80132000000000003</v>
      </c>
      <c r="F7" s="7">
        <v>10</v>
      </c>
      <c r="Q7"/>
      <c r="R7"/>
      <c r="S7"/>
    </row>
    <row r="8" spans="2:19">
      <c r="B8" s="6" t="s">
        <v>12</v>
      </c>
      <c r="C8" s="18" t="s">
        <v>13</v>
      </c>
      <c r="D8" s="79">
        <f>D7+3</f>
        <v>2.2000000000000002</v>
      </c>
      <c r="E8" s="79">
        <v>2.20797</v>
      </c>
      <c r="F8" s="7">
        <v>10</v>
      </c>
      <c r="K8" s="1" t="s">
        <v>77</v>
      </c>
      <c r="Q8"/>
      <c r="R8"/>
      <c r="S8"/>
    </row>
    <row r="9" spans="2:19">
      <c r="B9" s="6" t="s">
        <v>14</v>
      </c>
      <c r="C9" s="18" t="s">
        <v>15</v>
      </c>
      <c r="D9" s="79">
        <v>3</v>
      </c>
      <c r="E9" s="79">
        <v>3.0075400000000001</v>
      </c>
      <c r="F9" s="7">
        <v>10</v>
      </c>
      <c r="Q9"/>
      <c r="R9"/>
      <c r="S9"/>
    </row>
    <row r="10" spans="2:19">
      <c r="B10" s="6" t="s">
        <v>16</v>
      </c>
      <c r="C10" s="19" t="s">
        <v>17</v>
      </c>
      <c r="D10" s="79">
        <f>2*2^-0.5</f>
        <v>1.4142135623730949</v>
      </c>
      <c r="E10" s="79">
        <v>1.4138299999999999</v>
      </c>
      <c r="F10" s="7">
        <v>10</v>
      </c>
      <c r="Q10"/>
      <c r="R10"/>
      <c r="S10"/>
    </row>
    <row r="11" spans="2:19">
      <c r="B11" s="6" t="s">
        <v>18</v>
      </c>
      <c r="C11" s="19" t="s">
        <v>19</v>
      </c>
      <c r="D11" s="79">
        <f>2*3^-0.5</f>
        <v>1.1547005383792517</v>
      </c>
      <c r="E11" s="79">
        <v>1.1527099999999999</v>
      </c>
      <c r="F11" s="7">
        <v>10</v>
      </c>
      <c r="Q11"/>
      <c r="R11"/>
      <c r="S11"/>
    </row>
    <row r="12" spans="2:19">
      <c r="B12" s="6" t="s">
        <v>20</v>
      </c>
      <c r="C12" s="19" t="s">
        <v>21</v>
      </c>
      <c r="D12" s="79">
        <f>2</f>
        <v>2</v>
      </c>
      <c r="E12" s="79">
        <v>1.9979100000000001</v>
      </c>
      <c r="F12" s="7">
        <v>10</v>
      </c>
      <c r="Q12"/>
      <c r="R12"/>
      <c r="S12"/>
    </row>
    <row r="13" spans="2:19">
      <c r="B13" s="6" t="s">
        <v>22</v>
      </c>
      <c r="C13" s="19" t="s">
        <v>23</v>
      </c>
      <c r="D13" s="79">
        <f>(2^2-D7^2)^0.5</f>
        <v>1.8330302779823362</v>
      </c>
      <c r="E13" s="79">
        <v>1.8307500000000001</v>
      </c>
      <c r="F13" s="7">
        <v>10</v>
      </c>
      <c r="Q13"/>
      <c r="R13"/>
      <c r="S13"/>
    </row>
    <row r="14" spans="2:19">
      <c r="B14" s="6" t="s">
        <v>24</v>
      </c>
      <c r="C14" s="19" t="s">
        <v>25</v>
      </c>
      <c r="D14" s="79">
        <f>D13</f>
        <v>1.8330302779823362</v>
      </c>
      <c r="E14" s="79">
        <v>1.8306899999999999</v>
      </c>
      <c r="F14" s="7">
        <v>10</v>
      </c>
      <c r="Q14"/>
      <c r="R14"/>
      <c r="S14"/>
    </row>
    <row r="15" spans="2:19">
      <c r="B15" s="6" t="s">
        <v>26</v>
      </c>
      <c r="C15" s="19" t="s">
        <v>27</v>
      </c>
      <c r="D15" s="79">
        <f>D10</f>
        <v>1.4142135623730949</v>
      </c>
      <c r="E15" s="79">
        <v>1.4137200000000001</v>
      </c>
      <c r="F15" s="7">
        <v>10</v>
      </c>
      <c r="Q15"/>
      <c r="R15"/>
      <c r="S15"/>
    </row>
    <row r="16" spans="2:19">
      <c r="B16" s="6" t="s">
        <v>28</v>
      </c>
      <c r="C16" s="18" t="s">
        <v>29</v>
      </c>
      <c r="D16" s="79">
        <v>50</v>
      </c>
      <c r="E16" s="81">
        <v>49.231699999999996</v>
      </c>
      <c r="F16" s="7">
        <v>100</v>
      </c>
      <c r="Q16"/>
      <c r="R16"/>
      <c r="S16"/>
    </row>
    <row r="17" spans="2:19" ht="15" thickBot="1">
      <c r="B17" s="8" t="s">
        <v>30</v>
      </c>
      <c r="C17" s="20" t="s">
        <v>78</v>
      </c>
      <c r="D17" s="80">
        <v>80</v>
      </c>
      <c r="E17" s="82">
        <v>78.652799999999999</v>
      </c>
      <c r="F17" s="91">
        <v>100</v>
      </c>
      <c r="Q17"/>
      <c r="R17"/>
      <c r="S17"/>
    </row>
    <row r="18" spans="2:19">
      <c r="F18" s="92"/>
      <c r="Q18"/>
      <c r="R18"/>
      <c r="S18"/>
    </row>
    <row r="19" spans="2:19" ht="15" thickBot="1">
      <c r="Q19"/>
      <c r="R19"/>
      <c r="S19"/>
    </row>
    <row r="20" spans="2:19">
      <c r="B20" s="30" t="s">
        <v>31</v>
      </c>
      <c r="C20" s="32"/>
      <c r="D20" s="34"/>
      <c r="E20" s="33"/>
      <c r="Q20"/>
      <c r="R20"/>
      <c r="S20"/>
    </row>
    <row r="21" spans="2:19">
      <c r="B21" s="23" t="s">
        <v>2</v>
      </c>
      <c r="C21" s="27" t="s">
        <v>3</v>
      </c>
      <c r="D21" s="25" t="s">
        <v>103</v>
      </c>
      <c r="E21" s="26" t="s">
        <v>102</v>
      </c>
      <c r="F21" s="4"/>
      <c r="Q21"/>
      <c r="R21"/>
      <c r="S21"/>
    </row>
    <row r="22" spans="2:19">
      <c r="B22" s="12" t="s">
        <v>32</v>
      </c>
      <c r="C22" t="s">
        <v>92</v>
      </c>
      <c r="D22" s="83">
        <f>(D4^2+D10^2)^0.5</f>
        <v>1.4142135623730949</v>
      </c>
      <c r="E22" s="83">
        <f>(E4^2+E10^2)^0.5</f>
        <v>1.4138311205020209</v>
      </c>
      <c r="Q22"/>
      <c r="R22"/>
      <c r="S22"/>
    </row>
    <row r="23" spans="2:19">
      <c r="B23" s="12" t="s">
        <v>33</v>
      </c>
      <c r="C23" t="s">
        <v>93</v>
      </c>
      <c r="D23" s="83">
        <f t="shared" ref="D23:E27" si="0">(D5^2+D11^2)^0.5</f>
        <v>1.1547005383792517</v>
      </c>
      <c r="E23" s="83">
        <f t="shared" si="0"/>
        <v>1.1527106350684893</v>
      </c>
      <c r="Q23"/>
      <c r="R23"/>
      <c r="S23"/>
    </row>
    <row r="24" spans="2:19">
      <c r="B24" s="12" t="s">
        <v>34</v>
      </c>
      <c r="C24" t="s">
        <v>94</v>
      </c>
      <c r="D24" s="83">
        <f t="shared" si="0"/>
        <v>2</v>
      </c>
      <c r="E24" s="83">
        <f t="shared" si="0"/>
        <v>1.9979105261747834</v>
      </c>
      <c r="Q24"/>
      <c r="R24"/>
      <c r="S24"/>
    </row>
    <row r="25" spans="2:19">
      <c r="B25" s="12" t="s">
        <v>35</v>
      </c>
      <c r="C25" t="s">
        <v>95</v>
      </c>
      <c r="D25" s="83">
        <f t="shared" si="0"/>
        <v>2</v>
      </c>
      <c r="E25" s="83">
        <f t="shared" si="0"/>
        <v>1.998439217214274</v>
      </c>
      <c r="Q25"/>
      <c r="R25"/>
      <c r="S25"/>
    </row>
    <row r="26" spans="2:19">
      <c r="B26" s="12" t="s">
        <v>36</v>
      </c>
      <c r="C26" t="s">
        <v>96</v>
      </c>
      <c r="D26" s="83">
        <f t="shared" si="0"/>
        <v>2.8635642126552709</v>
      </c>
      <c r="E26" s="83">
        <f t="shared" si="0"/>
        <v>2.8681975868130145</v>
      </c>
      <c r="Q26"/>
      <c r="R26"/>
      <c r="S26"/>
    </row>
    <row r="27" spans="2:19" ht="15" thickBot="1">
      <c r="B27" s="14" t="s">
        <v>37</v>
      </c>
      <c r="C27" s="69" t="s">
        <v>97</v>
      </c>
      <c r="D27" s="93">
        <f t="shared" si="0"/>
        <v>3.3166247903553998</v>
      </c>
      <c r="E27" s="83">
        <f t="shared" si="0"/>
        <v>3.3232365383764062</v>
      </c>
      <c r="Q27"/>
      <c r="R27"/>
      <c r="S27"/>
    </row>
    <row r="28" spans="2:19" ht="15" thickBot="1">
      <c r="E28" s="94"/>
      <c r="Q28"/>
      <c r="R28"/>
      <c r="S28"/>
    </row>
    <row r="29" spans="2:19">
      <c r="B29" s="15" t="s">
        <v>38</v>
      </c>
      <c r="C29" s="16"/>
      <c r="D29" s="11"/>
      <c r="Q29"/>
      <c r="R29"/>
      <c r="S29"/>
    </row>
    <row r="30" spans="2:19" ht="28.8">
      <c r="B30" s="23" t="s">
        <v>2</v>
      </c>
      <c r="C30" s="24" t="s">
        <v>3</v>
      </c>
      <c r="D30" s="39" t="s">
        <v>104</v>
      </c>
      <c r="Q30"/>
      <c r="R30"/>
      <c r="S30"/>
    </row>
    <row r="31" spans="2:19">
      <c r="B31" s="12" t="s">
        <v>39</v>
      </c>
      <c r="C31" s="21" t="s">
        <v>40</v>
      </c>
      <c r="D31" s="13">
        <v>2</v>
      </c>
      <c r="Q31"/>
      <c r="R31"/>
      <c r="S31"/>
    </row>
    <row r="32" spans="2:19">
      <c r="B32" s="12" t="s">
        <v>41</v>
      </c>
      <c r="C32" s="21" t="s">
        <v>42</v>
      </c>
      <c r="D32" s="13">
        <v>2</v>
      </c>
      <c r="Q32"/>
      <c r="R32"/>
      <c r="S32"/>
    </row>
    <row r="33" spans="2:19">
      <c r="B33" s="12" t="s">
        <v>43</v>
      </c>
      <c r="C33" s="21" t="s">
        <v>44</v>
      </c>
      <c r="D33" s="13">
        <v>2</v>
      </c>
      <c r="Q33"/>
      <c r="R33"/>
      <c r="S33"/>
    </row>
    <row r="34" spans="2:19">
      <c r="B34" s="12" t="s">
        <v>45</v>
      </c>
      <c r="C34" s="21" t="s">
        <v>46</v>
      </c>
      <c r="D34" s="84">
        <f>2-D7</f>
        <v>2.8</v>
      </c>
      <c r="Q34"/>
      <c r="R34"/>
      <c r="S34"/>
    </row>
    <row r="35" spans="2:19">
      <c r="B35" s="12" t="s">
        <v>47</v>
      </c>
      <c r="C35" s="21" t="s">
        <v>48</v>
      </c>
      <c r="D35" s="84">
        <f>D34</f>
        <v>2.8</v>
      </c>
      <c r="Q35"/>
      <c r="R35"/>
      <c r="S35"/>
    </row>
    <row r="36" spans="2:19">
      <c r="B36" s="12" t="s">
        <v>49</v>
      </c>
      <c r="C36" s="21" t="s">
        <v>50</v>
      </c>
      <c r="D36" s="13">
        <v>2</v>
      </c>
    </row>
    <row r="37" spans="2:19">
      <c r="B37" s="12" t="s">
        <v>51</v>
      </c>
      <c r="C37" s="21" t="s">
        <v>52</v>
      </c>
      <c r="D37" s="84">
        <f>D31/D10</f>
        <v>1.4142135623730951</v>
      </c>
    </row>
    <row r="38" spans="2:19">
      <c r="B38" s="12" t="s">
        <v>53</v>
      </c>
      <c r="C38" s="21" t="s">
        <v>54</v>
      </c>
      <c r="D38" s="84">
        <f t="shared" ref="D38:D42" si="1">D32/D11</f>
        <v>1.732050807568877</v>
      </c>
    </row>
    <row r="39" spans="2:19">
      <c r="B39" s="12" t="s">
        <v>55</v>
      </c>
      <c r="C39" s="21" t="s">
        <v>56</v>
      </c>
      <c r="D39" s="84">
        <f t="shared" si="1"/>
        <v>1</v>
      </c>
    </row>
    <row r="40" spans="2:19">
      <c r="B40" s="12" t="s">
        <v>57</v>
      </c>
      <c r="C40" s="21" t="s">
        <v>58</v>
      </c>
      <c r="D40" s="84">
        <f t="shared" si="1"/>
        <v>1.5275252316519463</v>
      </c>
    </row>
    <row r="41" spans="2:19">
      <c r="B41" s="12" t="s">
        <v>59</v>
      </c>
      <c r="C41" s="21" t="s">
        <v>60</v>
      </c>
      <c r="D41" s="84">
        <f t="shared" si="1"/>
        <v>1.5275252316519463</v>
      </c>
    </row>
    <row r="42" spans="2:19" ht="15" thickBot="1">
      <c r="B42" s="14" t="s">
        <v>61</v>
      </c>
      <c r="C42" s="22" t="s">
        <v>62</v>
      </c>
      <c r="D42" s="84">
        <f t="shared" si="1"/>
        <v>1.4142135623730951</v>
      </c>
    </row>
    <row r="43" spans="2:19">
      <c r="D43" s="92"/>
    </row>
  </sheetData>
  <mergeCells count="1">
    <mergeCell ref="E2:F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2C33-38E3-434A-A2D2-CD8385713A8D}">
  <dimension ref="A1:I8"/>
  <sheetViews>
    <sheetView workbookViewId="0">
      <selection activeCell="F18" sqref="F18"/>
    </sheetView>
  </sheetViews>
  <sheetFormatPr defaultColWidth="9.109375" defaultRowHeight="14.4"/>
  <cols>
    <col min="1" max="1" width="10.109375" style="1" bestFit="1" customWidth="1"/>
    <col min="2" max="3" width="10.109375" style="1" customWidth="1"/>
    <col min="4" max="4" width="21.88671875" style="1" bestFit="1" customWidth="1"/>
    <col min="5" max="5" width="20" style="1" bestFit="1" customWidth="1"/>
    <col min="6" max="6" width="22.44140625" style="1" bestFit="1" customWidth="1"/>
    <col min="7" max="7" width="20.44140625" style="1" bestFit="1" customWidth="1"/>
    <col min="8" max="8" width="19.109375" style="1" bestFit="1" customWidth="1"/>
    <col min="9" max="9" width="20.6640625" style="1" bestFit="1" customWidth="1"/>
    <col min="10" max="16384" width="9.109375" style="1"/>
  </cols>
  <sheetData>
    <row r="1" spans="1:9" ht="15" thickBot="1">
      <c r="D1" s="72" t="s">
        <v>63</v>
      </c>
      <c r="E1" s="73"/>
      <c r="F1" s="74" t="s">
        <v>64</v>
      </c>
      <c r="G1" s="75"/>
      <c r="H1" s="75"/>
      <c r="I1" s="76"/>
    </row>
    <row r="2" spans="1:9" ht="28.8">
      <c r="A2" s="41" t="s">
        <v>2</v>
      </c>
      <c r="B2" s="41" t="s">
        <v>65</v>
      </c>
      <c r="C2" s="38" t="s">
        <v>66</v>
      </c>
      <c r="D2" s="52" t="s">
        <v>79</v>
      </c>
      <c r="E2" s="53" t="s">
        <v>101</v>
      </c>
      <c r="F2" s="54" t="s">
        <v>80</v>
      </c>
      <c r="G2" s="50" t="s">
        <v>82</v>
      </c>
      <c r="H2" s="50" t="s">
        <v>67</v>
      </c>
      <c r="I2" s="55" t="s">
        <v>81</v>
      </c>
    </row>
    <row r="3" spans="1:9">
      <c r="A3" s="42" t="s">
        <v>4</v>
      </c>
      <c r="B3" s="44">
        <f>'Tabella Valori'!E4</f>
        <v>-1.7799999999999999E-3</v>
      </c>
      <c r="C3" s="46">
        <f>'Tabella Valori'!F4</f>
        <v>10</v>
      </c>
      <c r="D3" s="61">
        <v>3.5000000000000001E-3</v>
      </c>
      <c r="E3" s="62">
        <v>5.0000000000000001E-4</v>
      </c>
      <c r="F3" s="85">
        <f>D3/100*ABS(B3)</f>
        <v>6.2300000000000009E-8</v>
      </c>
      <c r="G3" s="68">
        <f>E3/100*C3</f>
        <v>5.0000000000000002E-5</v>
      </c>
      <c r="H3" s="86">
        <f>F3+G3</f>
        <v>5.0062300000000003E-5</v>
      </c>
      <c r="I3" s="62">
        <f>H3/ABS(B3)*100</f>
        <v>2.8124887640449443</v>
      </c>
    </row>
    <row r="4" spans="1:9">
      <c r="A4" s="42" t="s">
        <v>6</v>
      </c>
      <c r="B4" s="44">
        <f>'Tabella Valori'!E5</f>
        <v>-1.2099999999999999E-3</v>
      </c>
      <c r="C4" s="46">
        <f>'Tabella Valori'!F5</f>
        <v>10</v>
      </c>
      <c r="D4" s="61">
        <v>3.5000000000000001E-3</v>
      </c>
      <c r="E4" s="62">
        <v>5.0000000000000001E-4</v>
      </c>
      <c r="F4" s="85">
        <f t="shared" ref="F4:F8" si="0">D4/100*ABS(B4)</f>
        <v>4.2349999999999999E-8</v>
      </c>
      <c r="G4" s="68">
        <f t="shared" ref="G4:G8" si="1">E4/100*C4</f>
        <v>5.0000000000000002E-5</v>
      </c>
      <c r="H4" s="86">
        <f t="shared" ref="H4:H8" si="2">F4+G4</f>
        <v>5.0042350000000004E-5</v>
      </c>
      <c r="I4" s="62">
        <f t="shared" ref="I4:I8" si="3">H4/ABS(B4)*100</f>
        <v>4.1357314049586789</v>
      </c>
    </row>
    <row r="5" spans="1:9">
      <c r="A5" s="42" t="s">
        <v>8</v>
      </c>
      <c r="B5" s="44">
        <f>'Tabella Valori'!E6</f>
        <v>-1.4499999999999999E-3</v>
      </c>
      <c r="C5" s="46">
        <f>'Tabella Valori'!F6</f>
        <v>10</v>
      </c>
      <c r="D5" s="61">
        <v>3.5000000000000001E-3</v>
      </c>
      <c r="E5" s="62">
        <v>5.0000000000000001E-4</v>
      </c>
      <c r="F5" s="85">
        <f t="shared" si="0"/>
        <v>5.0750000000000001E-8</v>
      </c>
      <c r="G5" s="68">
        <f t="shared" si="1"/>
        <v>5.0000000000000002E-5</v>
      </c>
      <c r="H5" s="86">
        <f t="shared" si="2"/>
        <v>5.0050750000000002E-5</v>
      </c>
      <c r="I5" s="62">
        <f t="shared" si="3"/>
        <v>3.451775862068966</v>
      </c>
    </row>
    <row r="6" spans="1:9">
      <c r="A6" s="42" t="s">
        <v>10</v>
      </c>
      <c r="B6" s="44">
        <f>'Tabella Valori'!E7</f>
        <v>-0.80132000000000003</v>
      </c>
      <c r="C6" s="46">
        <f>'Tabella Valori'!F7</f>
        <v>10</v>
      </c>
      <c r="D6" s="61">
        <v>3.5000000000000001E-3</v>
      </c>
      <c r="E6" s="62">
        <v>5.0000000000000001E-4</v>
      </c>
      <c r="F6" s="85">
        <f t="shared" si="0"/>
        <v>2.8046200000000003E-5</v>
      </c>
      <c r="G6" s="68">
        <f t="shared" si="1"/>
        <v>5.0000000000000002E-5</v>
      </c>
      <c r="H6" s="86">
        <f t="shared" si="2"/>
        <v>7.8046200000000005E-5</v>
      </c>
      <c r="I6" s="62">
        <f t="shared" si="3"/>
        <v>9.7397044875954675E-3</v>
      </c>
    </row>
    <row r="7" spans="1:9">
      <c r="A7" s="42" t="s">
        <v>12</v>
      </c>
      <c r="B7" s="44">
        <f>'Tabella Valori'!E8</f>
        <v>2.20797</v>
      </c>
      <c r="C7" s="46">
        <f>'Tabella Valori'!F8</f>
        <v>10</v>
      </c>
      <c r="D7" s="61">
        <v>3.5000000000000001E-3</v>
      </c>
      <c r="E7" s="62">
        <v>5.0000000000000001E-4</v>
      </c>
      <c r="F7" s="85">
        <f t="shared" si="0"/>
        <v>7.7278950000000013E-5</v>
      </c>
      <c r="G7" s="68">
        <f t="shared" si="1"/>
        <v>5.0000000000000002E-5</v>
      </c>
      <c r="H7" s="86">
        <f t="shared" si="2"/>
        <v>1.2727895000000001E-4</v>
      </c>
      <c r="I7" s="62">
        <f t="shared" si="3"/>
        <v>5.764523521605819E-3</v>
      </c>
    </row>
    <row r="8" spans="1:9" ht="15" thickBot="1">
      <c r="A8" s="43" t="s">
        <v>14</v>
      </c>
      <c r="B8" s="45">
        <f>'Tabella Valori'!E9</f>
        <v>3.0075400000000001</v>
      </c>
      <c r="C8" s="47">
        <f>'Tabella Valori'!F9</f>
        <v>10</v>
      </c>
      <c r="D8" s="61">
        <v>3.5000000000000001E-3</v>
      </c>
      <c r="E8" s="62">
        <v>5.0000000000000001E-4</v>
      </c>
      <c r="F8" s="85">
        <f t="shared" si="0"/>
        <v>1.0526390000000002E-4</v>
      </c>
      <c r="G8" s="68">
        <f t="shared" si="1"/>
        <v>5.0000000000000002E-5</v>
      </c>
      <c r="H8" s="86">
        <f t="shared" si="2"/>
        <v>1.5526390000000003E-4</v>
      </c>
      <c r="I8" s="62">
        <f t="shared" si="3"/>
        <v>5.1624882794576304E-3</v>
      </c>
    </row>
  </sheetData>
  <mergeCells count="2">
    <mergeCell ref="D1:E1"/>
    <mergeCell ref="F1:I1"/>
  </mergeCells>
  <pageMargins left="0.7" right="0.7" top="0.75" bottom="0.75" header="0.3" footer="0.3"/>
  <pageSetup orientation="portrait" r:id="rId1"/>
  <ignoredErrors>
    <ignoredError sqref="F3:F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Normal="100" workbookViewId="0">
      <selection activeCell="I15" sqref="I15"/>
    </sheetView>
  </sheetViews>
  <sheetFormatPr defaultColWidth="9.109375" defaultRowHeight="14.4"/>
  <cols>
    <col min="1" max="1" width="10.109375" style="1" bestFit="1" customWidth="1"/>
    <col min="2" max="2" width="10.109375" style="1" customWidth="1"/>
    <col min="3" max="3" width="10.5546875" style="1" bestFit="1" customWidth="1"/>
    <col min="4" max="4" width="21.88671875" style="1" bestFit="1" customWidth="1"/>
    <col min="5" max="5" width="20" style="1" bestFit="1" customWidth="1"/>
    <col min="6" max="6" width="20" style="1" customWidth="1"/>
    <col min="7" max="7" width="27.44140625" style="1" customWidth="1"/>
    <col min="8" max="8" width="20.44140625" style="1" bestFit="1" customWidth="1"/>
    <col min="9" max="10" width="20.44140625" style="1" customWidth="1"/>
    <col min="11" max="11" width="17.6640625" style="1" bestFit="1" customWidth="1"/>
    <col min="12" max="12" width="22.33203125" style="1" customWidth="1"/>
    <col min="13" max="16384" width="9.109375" style="1"/>
  </cols>
  <sheetData>
    <row r="1" spans="1:12" ht="15" thickBot="1">
      <c r="D1" s="72" t="s">
        <v>63</v>
      </c>
      <c r="E1" s="73"/>
      <c r="F1" s="48"/>
      <c r="G1" s="74" t="s">
        <v>64</v>
      </c>
      <c r="H1" s="75"/>
      <c r="I1" s="75"/>
      <c r="J1" s="75"/>
      <c r="K1" s="75"/>
      <c r="L1" s="76"/>
    </row>
    <row r="2" spans="1:12" ht="28.8">
      <c r="A2" s="37" t="s">
        <v>2</v>
      </c>
      <c r="B2" s="56" t="s">
        <v>65</v>
      </c>
      <c r="C2" s="57" t="s">
        <v>66</v>
      </c>
      <c r="D2" s="52" t="s">
        <v>79</v>
      </c>
      <c r="E2" s="53" t="s">
        <v>101</v>
      </c>
      <c r="F2" s="49" t="s">
        <v>85</v>
      </c>
      <c r="G2" s="54" t="s">
        <v>80</v>
      </c>
      <c r="H2" s="50" t="s">
        <v>82</v>
      </c>
      <c r="I2" s="50" t="s">
        <v>83</v>
      </c>
      <c r="J2" s="50" t="s">
        <v>84</v>
      </c>
      <c r="K2" s="50" t="s">
        <v>67</v>
      </c>
      <c r="L2" s="55" t="s">
        <v>81</v>
      </c>
    </row>
    <row r="3" spans="1:12">
      <c r="A3" s="35" t="s">
        <v>16</v>
      </c>
      <c r="B3" s="58">
        <f>'Tabella Valori'!E10</f>
        <v>1.4138299999999999</v>
      </c>
      <c r="C3" s="58">
        <f>'Tabella Valori'!F10</f>
        <v>10</v>
      </c>
      <c r="D3" s="87">
        <f>0.06</f>
        <v>0.06</v>
      </c>
      <c r="E3" s="88">
        <v>0.03</v>
      </c>
      <c r="F3" s="89">
        <v>0</v>
      </c>
      <c r="G3" s="87">
        <f>D3/100*ABS(B3)</f>
        <v>8.4829799999999983E-4</v>
      </c>
      <c r="H3" s="88">
        <f>E3/100*C3</f>
        <v>2.9999999999999996E-3</v>
      </c>
      <c r="I3" s="88">
        <f>F3/100*ABS(B3)</f>
        <v>0</v>
      </c>
      <c r="J3" s="88">
        <f>B11^2*D11/(4*PI()*C11) * ABS(B3)</f>
        <v>3.3752704978742164E-4</v>
      </c>
      <c r="K3" s="88">
        <f>SUM(G3:J3)</f>
        <v>4.1858250497874214E-3</v>
      </c>
      <c r="L3" s="89">
        <f>K3/ABS(B3)*100</f>
        <v>0.29606282578438864</v>
      </c>
    </row>
    <row r="4" spans="1:12">
      <c r="A4" s="35" t="s">
        <v>18</v>
      </c>
      <c r="B4" s="58">
        <f>'Tabella Valori'!E11</f>
        <v>1.1527099999999999</v>
      </c>
      <c r="C4" s="58">
        <f>'Tabella Valori'!F11</f>
        <v>10</v>
      </c>
      <c r="D4" s="87">
        <f t="shared" ref="D4:D8" si="0">0.06</f>
        <v>0.06</v>
      </c>
      <c r="E4" s="88">
        <v>0.03</v>
      </c>
      <c r="F4" s="89">
        <v>0.05</v>
      </c>
      <c r="G4" s="87">
        <f t="shared" ref="G4:G8" si="1">D4/100*ABS(B4)</f>
        <v>6.9162599999999987E-4</v>
      </c>
      <c r="H4" s="88">
        <f t="shared" ref="H4:H8" si="2">E4/100*C4</f>
        <v>2.9999999999999996E-3</v>
      </c>
      <c r="I4" s="88">
        <f t="shared" ref="I4:I8" si="3">F4/100*ABS(B4)</f>
        <v>5.7635499999999997E-4</v>
      </c>
      <c r="J4" s="88">
        <f t="shared" ref="J4:J8" si="4">B12^2*D12/(4*PI()*C12) * ABS(B4)</f>
        <v>4.1278386251578184E-4</v>
      </c>
      <c r="K4" s="88">
        <f t="shared" ref="K4:K8" si="5">SUM(G4:J4)</f>
        <v>4.6807648625157815E-3</v>
      </c>
      <c r="L4" s="89">
        <f t="shared" ref="L4:L8" si="6">K4/ABS(B4)*100</f>
        <v>0.40606612786527241</v>
      </c>
    </row>
    <row r="5" spans="1:12">
      <c r="A5" s="35" t="s">
        <v>20</v>
      </c>
      <c r="B5" s="58">
        <f>'Tabella Valori'!E12</f>
        <v>1.9979100000000001</v>
      </c>
      <c r="C5" s="58">
        <f>'Tabella Valori'!F12</f>
        <v>10</v>
      </c>
      <c r="D5" s="87">
        <f t="shared" si="0"/>
        <v>0.06</v>
      </c>
      <c r="E5" s="88">
        <v>0.03</v>
      </c>
      <c r="F5" s="89">
        <v>0.05</v>
      </c>
      <c r="G5" s="87">
        <f t="shared" si="1"/>
        <v>1.1987459999999999E-3</v>
      </c>
      <c r="H5" s="88">
        <f t="shared" si="2"/>
        <v>2.9999999999999996E-3</v>
      </c>
      <c r="I5" s="88">
        <f t="shared" si="3"/>
        <v>9.9895500000000016E-4</v>
      </c>
      <c r="J5" s="88">
        <f t="shared" si="4"/>
        <v>2.3848293926454647E-4</v>
      </c>
      <c r="K5" s="88">
        <f t="shared" si="5"/>
        <v>5.4361839392645462E-3</v>
      </c>
      <c r="L5" s="89">
        <f t="shared" si="6"/>
        <v>0.2720935347069961</v>
      </c>
    </row>
    <row r="6" spans="1:12">
      <c r="A6" s="35" t="s">
        <v>22</v>
      </c>
      <c r="B6" s="58">
        <f>'Tabella Valori'!E13</f>
        <v>1.8307500000000001</v>
      </c>
      <c r="C6" s="58">
        <f>'Tabella Valori'!F13</f>
        <v>10</v>
      </c>
      <c r="D6" s="87">
        <f t="shared" si="0"/>
        <v>0.06</v>
      </c>
      <c r="E6" s="88">
        <v>0.03</v>
      </c>
      <c r="F6" s="89">
        <v>0.05</v>
      </c>
      <c r="G6" s="87">
        <f t="shared" si="1"/>
        <v>1.0984499999999999E-3</v>
      </c>
      <c r="H6" s="88">
        <f t="shared" si="2"/>
        <v>2.9999999999999996E-3</v>
      </c>
      <c r="I6" s="88">
        <f t="shared" si="3"/>
        <v>9.1537500000000006E-4</v>
      </c>
      <c r="J6" s="88">
        <f t="shared" si="4"/>
        <v>5.0990259611460279E-4</v>
      </c>
      <c r="K6" s="88">
        <f t="shared" si="5"/>
        <v>5.523727596114603E-3</v>
      </c>
      <c r="L6" s="89">
        <f t="shared" si="6"/>
        <v>0.3017193825543959</v>
      </c>
    </row>
    <row r="7" spans="1:12">
      <c r="A7" s="35" t="s">
        <v>24</v>
      </c>
      <c r="B7" s="58">
        <f>'Tabella Valori'!E14</f>
        <v>1.8306899999999999</v>
      </c>
      <c r="C7" s="58">
        <f>'Tabella Valori'!F14</f>
        <v>10</v>
      </c>
      <c r="D7" s="87">
        <f t="shared" si="0"/>
        <v>0.06</v>
      </c>
      <c r="E7" s="88">
        <v>0.03</v>
      </c>
      <c r="F7" s="89">
        <v>0.05</v>
      </c>
      <c r="G7" s="87">
        <f t="shared" si="1"/>
        <v>1.0984139999999998E-3</v>
      </c>
      <c r="H7" s="88">
        <f t="shared" si="2"/>
        <v>2.9999999999999996E-3</v>
      </c>
      <c r="I7" s="88">
        <f t="shared" si="3"/>
        <v>9.1534500000000003E-4</v>
      </c>
      <c r="J7" s="88">
        <f t="shared" si="4"/>
        <v>5.0988588484557806E-4</v>
      </c>
      <c r="K7" s="88">
        <f t="shared" si="5"/>
        <v>5.5236448848455773E-3</v>
      </c>
      <c r="L7" s="89">
        <f t="shared" si="6"/>
        <v>0.3017247532266838</v>
      </c>
    </row>
    <row r="8" spans="1:12" ht="15" thickBot="1">
      <c r="A8" s="36" t="s">
        <v>26</v>
      </c>
      <c r="B8" s="58">
        <f>'Tabella Valori'!E15</f>
        <v>1.4137200000000001</v>
      </c>
      <c r="C8" s="58">
        <f>'Tabella Valori'!F15</f>
        <v>10</v>
      </c>
      <c r="D8" s="87">
        <f t="shared" si="0"/>
        <v>0.06</v>
      </c>
      <c r="E8" s="88">
        <v>0.03</v>
      </c>
      <c r="F8" s="89">
        <v>0</v>
      </c>
      <c r="G8" s="87">
        <f t="shared" si="1"/>
        <v>8.4823199999999998E-4</v>
      </c>
      <c r="H8" s="88">
        <f t="shared" si="2"/>
        <v>2.9999999999999996E-3</v>
      </c>
      <c r="I8" s="88">
        <f t="shared" si="3"/>
        <v>0</v>
      </c>
      <c r="J8" s="88">
        <f t="shared" si="4"/>
        <v>3.3750078922181151E-4</v>
      </c>
      <c r="K8" s="88">
        <f t="shared" si="5"/>
        <v>4.1857327892218113E-3</v>
      </c>
      <c r="L8" s="89">
        <f t="shared" si="6"/>
        <v>0.29607933602282005</v>
      </c>
    </row>
    <row r="10" spans="1:12">
      <c r="A10" s="5"/>
      <c r="B10" s="51" t="s">
        <v>105</v>
      </c>
      <c r="C10" s="51" t="s">
        <v>112</v>
      </c>
      <c r="D10" s="51" t="s">
        <v>113</v>
      </c>
    </row>
    <row r="11" spans="1:12">
      <c r="A11" s="95" t="s">
        <v>106</v>
      </c>
      <c r="B11" s="58">
        <f>'Tabella Valori'!D37</f>
        <v>1.4142135623730951</v>
      </c>
      <c r="C11" s="51">
        <f>10^6</f>
        <v>1000000</v>
      </c>
      <c r="D11" s="51">
        <f>1.5*10^3</f>
        <v>1500</v>
      </c>
    </row>
    <row r="12" spans="1:12">
      <c r="A12" s="95" t="s">
        <v>107</v>
      </c>
      <c r="B12" s="58">
        <f>'Tabella Valori'!D38</f>
        <v>1.732050807568877</v>
      </c>
      <c r="C12" s="51">
        <f t="shared" ref="C12:C16" si="7">10^6</f>
        <v>1000000</v>
      </c>
      <c r="D12" s="51">
        <f t="shared" ref="D12:D16" si="8">1.5*10^3</f>
        <v>1500</v>
      </c>
    </row>
    <row r="13" spans="1:12">
      <c r="A13" s="95" t="s">
        <v>108</v>
      </c>
      <c r="B13" s="58">
        <f>'Tabella Valori'!D39</f>
        <v>1</v>
      </c>
      <c r="C13" s="51">
        <f t="shared" si="7"/>
        <v>1000000</v>
      </c>
      <c r="D13" s="51">
        <f t="shared" si="8"/>
        <v>1500</v>
      </c>
    </row>
    <row r="14" spans="1:12">
      <c r="A14" s="95" t="s">
        <v>109</v>
      </c>
      <c r="B14" s="58">
        <f>'Tabella Valori'!D40</f>
        <v>1.5275252316519463</v>
      </c>
      <c r="C14" s="51">
        <f t="shared" si="7"/>
        <v>1000000</v>
      </c>
      <c r="D14" s="51">
        <f t="shared" si="8"/>
        <v>1500</v>
      </c>
    </row>
    <row r="15" spans="1:12">
      <c r="A15" s="95" t="s">
        <v>110</v>
      </c>
      <c r="B15" s="58">
        <f>'Tabella Valori'!D41</f>
        <v>1.5275252316519463</v>
      </c>
      <c r="C15" s="51">
        <f t="shared" si="7"/>
        <v>1000000</v>
      </c>
      <c r="D15" s="51">
        <f t="shared" si="8"/>
        <v>1500</v>
      </c>
    </row>
    <row r="16" spans="1:12">
      <c r="A16" s="95" t="s">
        <v>111</v>
      </c>
      <c r="B16" s="58">
        <f>'Tabella Valori'!D42</f>
        <v>1.4142135623730951</v>
      </c>
      <c r="C16" s="51">
        <f t="shared" si="7"/>
        <v>1000000</v>
      </c>
      <c r="D16" s="51">
        <f t="shared" si="8"/>
        <v>1500</v>
      </c>
    </row>
  </sheetData>
  <mergeCells count="2">
    <mergeCell ref="D1:E1"/>
    <mergeCell ref="G1:L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9DC6-CAAC-4955-B37B-361098C60F19}">
  <dimension ref="A1:I11"/>
  <sheetViews>
    <sheetView workbookViewId="0">
      <selection activeCell="F10" sqref="F10"/>
    </sheetView>
  </sheetViews>
  <sheetFormatPr defaultColWidth="9.109375" defaultRowHeight="14.4"/>
  <cols>
    <col min="1" max="1" width="10.109375" style="1" bestFit="1" customWidth="1"/>
    <col min="2" max="2" width="10.109375" style="1" customWidth="1"/>
    <col min="3" max="3" width="10.6640625" style="1" bestFit="1" customWidth="1"/>
    <col min="4" max="4" width="21.88671875" style="1" bestFit="1" customWidth="1"/>
    <col min="5" max="5" width="20" style="1" bestFit="1" customWidth="1"/>
    <col min="6" max="6" width="22.44140625" style="1" bestFit="1" customWidth="1"/>
    <col min="7" max="7" width="20.44140625" style="1" bestFit="1" customWidth="1"/>
    <col min="8" max="8" width="19.109375" style="1" bestFit="1" customWidth="1"/>
    <col min="9" max="9" width="20.6640625" style="1" bestFit="1" customWidth="1"/>
    <col min="10" max="16384" width="9.109375" style="1"/>
  </cols>
  <sheetData>
    <row r="1" spans="1:9" ht="15" thickBot="1">
      <c r="D1" s="72" t="s">
        <v>63</v>
      </c>
      <c r="E1" s="73"/>
      <c r="F1" s="74" t="s">
        <v>64</v>
      </c>
      <c r="G1" s="75"/>
      <c r="H1" s="75"/>
      <c r="I1" s="76"/>
    </row>
    <row r="2" spans="1:9" ht="28.8">
      <c r="A2" s="37" t="s">
        <v>2</v>
      </c>
      <c r="B2" s="38" t="s">
        <v>68</v>
      </c>
      <c r="C2" s="38" t="s">
        <v>69</v>
      </c>
      <c r="D2" s="52" t="s">
        <v>79</v>
      </c>
      <c r="E2" s="53" t="s">
        <v>101</v>
      </c>
      <c r="F2" s="54" t="s">
        <v>86</v>
      </c>
      <c r="G2" s="50" t="s">
        <v>87</v>
      </c>
      <c r="H2" s="50" t="s">
        <v>70</v>
      </c>
      <c r="I2" s="55" t="s">
        <v>81</v>
      </c>
    </row>
    <row r="3" spans="1:9">
      <c r="A3" s="51" t="s">
        <v>28</v>
      </c>
      <c r="B3" s="58">
        <f>'Tabella Valori'!E16</f>
        <v>49.231699999999996</v>
      </c>
      <c r="C3" s="58">
        <f>'Tabella Valori'!F16</f>
        <v>100</v>
      </c>
      <c r="D3" s="61">
        <v>0.01</v>
      </c>
      <c r="E3" s="62">
        <v>4.0000000000000001E-3</v>
      </c>
      <c r="F3" s="63">
        <f>D3/100*ABS(B3)</f>
        <v>4.9231700000000002E-3</v>
      </c>
      <c r="G3" s="64">
        <f>E3/100*C3</f>
        <v>4.0000000000000001E-3</v>
      </c>
      <c r="H3" s="64">
        <f>F3+G3</f>
        <v>8.9231700000000011E-3</v>
      </c>
      <c r="I3" s="65">
        <f>H3/ABS(B3)*100</f>
        <v>1.8124846389622949E-2</v>
      </c>
    </row>
    <row r="4" spans="1:9" ht="15" thickBot="1">
      <c r="A4" s="51" t="s">
        <v>30</v>
      </c>
      <c r="B4" s="58">
        <f>'Tabella Valori'!E17</f>
        <v>78.652799999999999</v>
      </c>
      <c r="C4" s="58">
        <f>'Tabella Valori'!F17</f>
        <v>100</v>
      </c>
      <c r="D4" s="66">
        <v>0.01</v>
      </c>
      <c r="E4" s="67">
        <v>4.0000000000000001E-3</v>
      </c>
      <c r="F4" s="63">
        <f>D4/100*ABS(B4)</f>
        <v>7.8652800000000005E-3</v>
      </c>
      <c r="G4" s="64">
        <f>E4/100*C4</f>
        <v>4.0000000000000001E-3</v>
      </c>
      <c r="H4" s="64">
        <f>F4+G4</f>
        <v>1.1865280000000001E-2</v>
      </c>
      <c r="I4" s="65">
        <f>H4/ABS(B4)*100</f>
        <v>1.5085642214898899E-2</v>
      </c>
    </row>
    <row r="5" spans="1:9">
      <c r="D5" s="5"/>
      <c r="E5" s="5"/>
    </row>
    <row r="6" spans="1:9">
      <c r="D6" s="5"/>
      <c r="E6" s="5"/>
    </row>
    <row r="7" spans="1:9">
      <c r="D7" s="5"/>
      <c r="E7" s="5"/>
    </row>
    <row r="8" spans="1:9">
      <c r="D8" s="5"/>
      <c r="E8" s="5"/>
    </row>
    <row r="11" spans="1:9">
      <c r="A11" s="2"/>
      <c r="B11" s="2"/>
      <c r="C11" s="2"/>
    </row>
  </sheetData>
  <mergeCells count="2">
    <mergeCell ref="D1:E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031B-051B-415D-BF98-F8EC975D9497}">
  <dimension ref="A1:H16"/>
  <sheetViews>
    <sheetView tabSelected="1" workbookViewId="0">
      <selection activeCell="D15" sqref="D15"/>
    </sheetView>
  </sheetViews>
  <sheetFormatPr defaultColWidth="8.6640625" defaultRowHeight="14.4"/>
  <cols>
    <col min="1" max="1" width="10.109375" bestFit="1" customWidth="1"/>
    <col min="2" max="2" width="10" bestFit="1" customWidth="1"/>
    <col min="3" max="3" width="13.33203125" bestFit="1" customWidth="1"/>
    <col min="4" max="4" width="16.5546875" customWidth="1"/>
    <col min="5" max="5" width="15.6640625" customWidth="1"/>
    <col min="6" max="6" width="13" customWidth="1"/>
    <col min="7" max="7" width="21.33203125" customWidth="1"/>
    <col min="8" max="8" width="32.6640625" customWidth="1"/>
  </cols>
  <sheetData>
    <row r="1" spans="1:8">
      <c r="A1" s="77" t="s">
        <v>64</v>
      </c>
      <c r="B1" s="77"/>
      <c r="C1" s="77"/>
      <c r="D1" s="77"/>
      <c r="E1" s="77"/>
      <c r="F1" s="77"/>
      <c r="G1" s="77"/>
      <c r="H1" s="77"/>
    </row>
    <row r="2" spans="1:8" ht="28.8">
      <c r="A2" s="60" t="s">
        <v>2</v>
      </c>
      <c r="B2" s="60" t="s">
        <v>65</v>
      </c>
      <c r="C2" s="60" t="s">
        <v>71</v>
      </c>
      <c r="D2" s="59" t="s">
        <v>90</v>
      </c>
      <c r="E2" s="60" t="s">
        <v>72</v>
      </c>
      <c r="F2" s="59" t="s">
        <v>91</v>
      </c>
      <c r="G2" s="59" t="s">
        <v>88</v>
      </c>
      <c r="H2" s="59" t="s">
        <v>89</v>
      </c>
    </row>
    <row r="3" spans="1:8">
      <c r="A3" s="51" t="s">
        <v>32</v>
      </c>
      <c r="B3" s="58">
        <f>'Tabella Valori'!E22</f>
        <v>1.4138311205020209</v>
      </c>
      <c r="C3" s="68">
        <f>B11/B3</f>
        <v>-1.2589905358484118E-3</v>
      </c>
      <c r="D3" s="58">
        <f>'Incertezze misure dirette 1'!H3</f>
        <v>5.0062300000000003E-5</v>
      </c>
      <c r="E3" s="68">
        <f>C11/B3</f>
        <v>0.99999920747110127</v>
      </c>
      <c r="F3" s="58">
        <f>'Incertezze misure dirette 2'!K3</f>
        <v>4.1858250497874214E-3</v>
      </c>
      <c r="G3" s="68">
        <f>ABS(C3)*D3+ABS(E3)*F3</f>
        <v>4.1858847603620068E-3</v>
      </c>
      <c r="H3" s="68">
        <f>G3/ABS(B3)*100</f>
        <v>0.29606681446336319</v>
      </c>
    </row>
    <row r="4" spans="1:8">
      <c r="A4" s="51" t="s">
        <v>33</v>
      </c>
      <c r="B4" s="58">
        <f>'Tabella Valori'!E23</f>
        <v>1.1527106350684893</v>
      </c>
      <c r="C4" s="68">
        <f t="shared" ref="C4:C8" si="0">B12/B4</f>
        <v>-1.0496996932175496E-3</v>
      </c>
      <c r="D4" s="58">
        <f>'Incertezze misure dirette 1'!H4</f>
        <v>5.0042350000000004E-5</v>
      </c>
      <c r="E4" s="68">
        <f t="shared" ref="E4:E8" si="1">C12/B4</f>
        <v>0.99999944906512528</v>
      </c>
      <c r="F4" s="58">
        <f>'Incertezze misure dirette 2'!K4</f>
        <v>4.6807648625157815E-3</v>
      </c>
      <c r="G4" s="68">
        <f t="shared" ref="G4:G8" si="2">ABS(C4)*D4+ABS(E4)*F4</f>
        <v>4.6808148131586213E-3</v>
      </c>
      <c r="H4" s="68">
        <f t="shared" ref="H4:H8" si="3">G4/ABS(B4)*100</f>
        <v>0.40607023746948484</v>
      </c>
    </row>
    <row r="5" spans="1:8">
      <c r="A5" s="51" t="s">
        <v>34</v>
      </c>
      <c r="B5" s="58">
        <f>'Tabella Valori'!E24</f>
        <v>1.9979105261747834</v>
      </c>
      <c r="C5" s="68">
        <f t="shared" si="0"/>
        <v>-7.2575822640875835E-4</v>
      </c>
      <c r="D5" s="58">
        <f>'Incertezze misure dirette 1'!H5</f>
        <v>5.0050750000000002E-5</v>
      </c>
      <c r="E5" s="68">
        <f t="shared" si="1"/>
        <v>0.99999973663746378</v>
      </c>
      <c r="F5" s="58">
        <f>'Incertezze misure dirette 2'!K5</f>
        <v>5.4361839392645462E-3</v>
      </c>
      <c r="G5" s="68">
        <f t="shared" si="2"/>
        <v>5.4362188323209071E-3</v>
      </c>
      <c r="H5" s="68">
        <f t="shared" si="3"/>
        <v>0.27209520952518024</v>
      </c>
    </row>
    <row r="6" spans="1:8">
      <c r="A6" s="51" t="s">
        <v>35</v>
      </c>
      <c r="B6" s="58">
        <f>'Tabella Valori'!E25</f>
        <v>1.998439217214274</v>
      </c>
      <c r="C6" s="68">
        <f t="shared" si="0"/>
        <v>-0.40097291581227112</v>
      </c>
      <c r="D6" s="58">
        <f>'Incertezze misure dirette 1'!H6</f>
        <v>7.8046200000000005E-5</v>
      </c>
      <c r="E6" s="68">
        <f t="shared" si="1"/>
        <v>0.91608990867982243</v>
      </c>
      <c r="F6" s="58">
        <f>'Incertezze misure dirette 2'!K6</f>
        <v>5.523727596114603E-3</v>
      </c>
      <c r="G6" s="68">
        <f t="shared" si="2"/>
        <v>5.0915255214789099E-3</v>
      </c>
      <c r="H6" s="68">
        <f t="shared" si="3"/>
        <v>0.25477510036938961</v>
      </c>
    </row>
    <row r="7" spans="1:8">
      <c r="A7" s="51" t="s">
        <v>36</v>
      </c>
      <c r="B7" s="58">
        <f>'Tabella Valori'!E26</f>
        <v>2.8681975868130145</v>
      </c>
      <c r="C7" s="68">
        <f t="shared" si="0"/>
        <v>0.76981098169508477</v>
      </c>
      <c r="D7" s="58">
        <f>'Incertezze misure dirette 1'!H7</f>
        <v>1.2727895000000001E-4</v>
      </c>
      <c r="E7" s="68">
        <f t="shared" si="1"/>
        <v>0.63827192673785182</v>
      </c>
      <c r="F7" s="58">
        <f>'Incertezze misure dirette 2'!K7</f>
        <v>5.5236448848455773E-3</v>
      </c>
      <c r="G7" s="68">
        <f t="shared" si="2"/>
        <v>3.623568196714686E-3</v>
      </c>
      <c r="H7" s="68">
        <f t="shared" si="3"/>
        <v>0.12633607298794913</v>
      </c>
    </row>
    <row r="8" spans="1:8">
      <c r="A8" s="51" t="s">
        <v>37</v>
      </c>
      <c r="B8" s="58">
        <f>'Tabella Valori'!E27</f>
        <v>3.3232365383764062</v>
      </c>
      <c r="C8" s="68">
        <f t="shared" si="0"/>
        <v>0.90500328979572364</v>
      </c>
      <c r="D8" s="58">
        <f>'Incertezze misure dirette 1'!H8</f>
        <v>1.5526390000000003E-4</v>
      </c>
      <c r="E8" s="68">
        <f t="shared" si="1"/>
        <v>0.42540456680543248</v>
      </c>
      <c r="F8" s="58">
        <f>'Incertezze misure dirette 2'!K8</f>
        <v>4.1857327892218113E-3</v>
      </c>
      <c r="G8" s="68">
        <f t="shared" si="2"/>
        <v>1.9211441842487136E-3</v>
      </c>
      <c r="H8" s="68">
        <f t="shared" si="3"/>
        <v>5.7809432523491203E-2</v>
      </c>
    </row>
    <row r="10" spans="1:8">
      <c r="A10" s="90"/>
      <c r="B10" s="51" t="s">
        <v>114</v>
      </c>
      <c r="C10" s="51" t="s">
        <v>115</v>
      </c>
    </row>
    <row r="11" spans="1:8">
      <c r="A11" s="97" t="s">
        <v>106</v>
      </c>
      <c r="B11" s="58">
        <f>'Tabella Valori'!E4</f>
        <v>-1.7799999999999999E-3</v>
      </c>
      <c r="C11" s="58">
        <f>'Tabella Valori'!E10</f>
        <v>1.4138299999999999</v>
      </c>
    </row>
    <row r="12" spans="1:8">
      <c r="A12" s="97" t="s">
        <v>107</v>
      </c>
      <c r="B12" s="58">
        <f>'Tabella Valori'!E5</f>
        <v>-1.2099999999999999E-3</v>
      </c>
      <c r="C12" s="58">
        <f>'Tabella Valori'!E11</f>
        <v>1.1527099999999999</v>
      </c>
    </row>
    <row r="13" spans="1:8">
      <c r="A13" s="97" t="s">
        <v>108</v>
      </c>
      <c r="B13" s="58">
        <f>'Tabella Valori'!E6</f>
        <v>-1.4499999999999999E-3</v>
      </c>
      <c r="C13" s="58">
        <f>'Tabella Valori'!E12</f>
        <v>1.9979100000000001</v>
      </c>
    </row>
    <row r="14" spans="1:8">
      <c r="A14" s="97" t="s">
        <v>109</v>
      </c>
      <c r="B14" s="58">
        <f>'Tabella Valori'!E7</f>
        <v>-0.80132000000000003</v>
      </c>
      <c r="C14" s="58">
        <f>'Tabella Valori'!E13</f>
        <v>1.8307500000000001</v>
      </c>
    </row>
    <row r="15" spans="1:8">
      <c r="A15" s="97" t="s">
        <v>110</v>
      </c>
      <c r="B15" s="58">
        <f>'Tabella Valori'!E8</f>
        <v>2.20797</v>
      </c>
      <c r="C15" s="58">
        <f>'Tabella Valori'!E14</f>
        <v>1.8306899999999999</v>
      </c>
    </row>
    <row r="16" spans="1:8">
      <c r="A16" s="96" t="s">
        <v>111</v>
      </c>
      <c r="B16" s="58">
        <f>'Tabella Valori'!E9</f>
        <v>3.0075400000000001</v>
      </c>
      <c r="C16" s="58">
        <f>'Tabella Valori'!E15</f>
        <v>1.4137200000000001</v>
      </c>
    </row>
  </sheetData>
  <mergeCells count="1">
    <mergeCell ref="A1:H1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CFCF-70E7-43FC-A6F7-E43007E420E9}">
  <dimension ref="A1:B4"/>
  <sheetViews>
    <sheetView workbookViewId="0">
      <selection activeCell="B11" sqref="B11"/>
    </sheetView>
  </sheetViews>
  <sheetFormatPr defaultRowHeight="14.4"/>
  <cols>
    <col min="1" max="1" width="27.109375" customWidth="1"/>
    <col min="2" max="2" width="25" customWidth="1"/>
    <col min="3" max="3" width="22.88671875" customWidth="1"/>
    <col min="4" max="4" width="23.5546875" customWidth="1"/>
  </cols>
  <sheetData>
    <row r="1" spans="1:2">
      <c r="B1" t="s">
        <v>73</v>
      </c>
    </row>
    <row r="2" spans="1:2">
      <c r="A2" t="s">
        <v>74</v>
      </c>
    </row>
    <row r="3" spans="1:2">
      <c r="A3" t="s">
        <v>75</v>
      </c>
    </row>
    <row r="4" spans="1:2">
      <c r="A4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F59BA9692CEB4A9C2D5419F59BB33E" ma:contentTypeVersion="12" ma:contentTypeDescription="Creare un nuovo documento." ma:contentTypeScope="" ma:versionID="4a850d4671dad9dffeadc7343e84afa7">
  <xsd:schema xmlns:xsd="http://www.w3.org/2001/XMLSchema" xmlns:xs="http://www.w3.org/2001/XMLSchema" xmlns:p="http://schemas.microsoft.com/office/2006/metadata/properties" xmlns:ns2="bf05cce5-bd2b-4e7d-83c7-59f5a7708ba9" xmlns:ns3="3a9b037f-e136-496d-90f1-d8ed146c3785" targetNamespace="http://schemas.microsoft.com/office/2006/metadata/properties" ma:root="true" ma:fieldsID="ca5fc300471406ab9bf386ec5a0d4042" ns2:_="" ns3:_="">
    <xsd:import namespace="bf05cce5-bd2b-4e7d-83c7-59f5a7708ba9"/>
    <xsd:import namespace="3a9b037f-e136-496d-90f1-d8ed146c37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5cce5-bd2b-4e7d-83c7-59f5a7708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c5ef9682-6c55-4541-b5a3-cf23735ee8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b037f-e136-496d-90f1-d8ed146c37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fbb91-ff43-47c5-b63b-b2a775871f86}" ma:internalName="TaxCatchAll" ma:showField="CatchAllData" ma:web="3a9b037f-e136-496d-90f1-d8ed146c37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5cce5-bd2b-4e7d-83c7-59f5a7708ba9">
      <Terms xmlns="http://schemas.microsoft.com/office/infopath/2007/PartnerControls"/>
    </lcf76f155ced4ddcb4097134ff3c332f>
    <TaxCatchAll xmlns="3a9b037f-e136-496d-90f1-d8ed146c3785" xsi:nil="true"/>
  </documentManagement>
</p:properties>
</file>

<file path=customXml/itemProps1.xml><?xml version="1.0" encoding="utf-8"?>
<ds:datastoreItem xmlns:ds="http://schemas.openxmlformats.org/officeDocument/2006/customXml" ds:itemID="{489FB6A7-D46B-42B1-A4FD-D69E0DB18F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05cce5-bd2b-4e7d-83c7-59f5a7708ba9"/>
    <ds:schemaRef ds:uri="3a9b037f-e136-496d-90f1-d8ed146c3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C3E74F-55C0-486D-B145-E8E86DC19A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EADEF-FEA2-4C2E-BFAC-5A82D25308E1}">
  <ds:schemaRefs>
    <ds:schemaRef ds:uri="http://www.w3.org/XML/1998/namespace"/>
    <ds:schemaRef ds:uri="http://purl.org/dc/elements/1.1/"/>
    <ds:schemaRef ds:uri="30b58a54-e12f-4eab-932f-e99bb0329305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9a962fd-7f3a-4e4b-8e20-438e8da80c4e"/>
    <ds:schemaRef ds:uri="http://purl.org/dc/terms/"/>
    <ds:schemaRef ds:uri="bf05cce5-bd2b-4e7d-83c7-59f5a7708ba9"/>
    <ds:schemaRef ds:uri="3a9b037f-e136-496d-90f1-d8ed146c37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Tabella Valori</vt:lpstr>
      <vt:lpstr>Incertezze misure dirette 1</vt:lpstr>
      <vt:lpstr>Incertezze misure dirette 2</vt:lpstr>
      <vt:lpstr>Incertezze misure dirette 3</vt:lpstr>
      <vt:lpstr>Misure indirette</vt:lpstr>
      <vt:lpstr>Note (eventuali)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Giaquinto</dc:creator>
  <cp:keywords/>
  <dc:description/>
  <cp:lastModifiedBy>DI SPIRITO DANIELE</cp:lastModifiedBy>
  <cp:revision/>
  <dcterms:created xsi:type="dcterms:W3CDTF">2015-06-05T18:19:34Z</dcterms:created>
  <dcterms:modified xsi:type="dcterms:W3CDTF">2025-12-01T15:35:17Z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0x01010076F59BA9692CEB4A9C2D5419F59BB33E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