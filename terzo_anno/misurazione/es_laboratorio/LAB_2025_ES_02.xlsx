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uni\terzo_anno\misurazione\es_laboratorio\"/>
    </mc:Choice>
  </mc:AlternateContent>
  <xr:revisionPtr revIDLastSave="0" documentId="13_ncr:1_{4B50489B-3F75-44EA-875A-52E35E4A6E5A}" xr6:coauthVersionLast="47" xr6:coauthVersionMax="47" xr10:uidLastSave="{00000000-0000-0000-0000-000000000000}"/>
  <bookViews>
    <workbookView xWindow="-108" yWindow="-108" windowWidth="23256" windowHeight="13176" tabRatio="748" xr2:uid="{4D1CCE3D-09B4-41D3-83B2-CF0BC74DBF0B}"/>
  </bookViews>
  <sheets>
    <sheet name="1 - Misure in laboratorio" sheetId="1" r:id="rId1"/>
    <sheet name="2 - Incertezza misure R e C" sheetId="2" r:id="rId2"/>
    <sheet name="3 - Incertezza misure tensione" sheetId="5" r:id="rId3"/>
    <sheet name="4 - Incertezza misure tempo" sheetId="4" r:id="rId4"/>
    <sheet name="5 - Incertezza frequenza" sheetId="6" r:id="rId5"/>
    <sheet name="6 - Incertezza misure indirette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L3" i="3" s="1"/>
  <c r="C10" i="1"/>
  <c r="B15" i="3" s="1"/>
  <c r="C6" i="3" s="1"/>
  <c r="B5" i="4"/>
  <c r="J5" i="4" s="1"/>
  <c r="C5" i="4"/>
  <c r="M4" i="4"/>
  <c r="M3" i="4"/>
  <c r="M5" i="4"/>
  <c r="M4" i="3"/>
  <c r="N4" i="3" s="1"/>
  <c r="J4" i="3"/>
  <c r="K4" i="3"/>
  <c r="L4" i="3"/>
  <c r="J5" i="3"/>
  <c r="M5" i="3" s="1"/>
  <c r="K5" i="3"/>
  <c r="L5" i="3"/>
  <c r="K6" i="3"/>
  <c r="L6" i="3"/>
  <c r="L7" i="3"/>
  <c r="K3" i="3"/>
  <c r="D5" i="3"/>
  <c r="E3" i="3"/>
  <c r="C5" i="3"/>
  <c r="C4" i="3"/>
  <c r="C3" i="3"/>
  <c r="B14" i="3"/>
  <c r="B13" i="3"/>
  <c r="B12" i="3"/>
  <c r="B11" i="3"/>
  <c r="B10" i="3"/>
  <c r="B9" i="3"/>
  <c r="H3" i="6"/>
  <c r="I3" i="6"/>
  <c r="G3" i="6"/>
  <c r="F3" i="6"/>
  <c r="E3" i="6"/>
  <c r="D3" i="6"/>
  <c r="H4" i="4"/>
  <c r="I4" i="4" s="1"/>
  <c r="L4" i="4" s="1"/>
  <c r="J4" i="4"/>
  <c r="K4" i="4"/>
  <c r="N4" i="4" s="1"/>
  <c r="P4" i="4" s="1"/>
  <c r="O4" i="4" s="1"/>
  <c r="H5" i="4"/>
  <c r="I5" i="4"/>
  <c r="K5" i="4"/>
  <c r="L5" i="4"/>
  <c r="N3" i="4"/>
  <c r="P3" i="4" s="1"/>
  <c r="L3" i="4"/>
  <c r="K3" i="4"/>
  <c r="J3" i="4"/>
  <c r="I3" i="4"/>
  <c r="H3" i="4"/>
  <c r="O4" i="5"/>
  <c r="N4" i="5" s="1"/>
  <c r="N3" i="5"/>
  <c r="O3" i="5"/>
  <c r="G4" i="3" s="1"/>
  <c r="M4" i="5"/>
  <c r="M3" i="5"/>
  <c r="L4" i="5"/>
  <c r="L3" i="5"/>
  <c r="K4" i="5"/>
  <c r="K3" i="5"/>
  <c r="J4" i="5"/>
  <c r="J3" i="5"/>
  <c r="I4" i="5"/>
  <c r="I3" i="5"/>
  <c r="H4" i="5"/>
  <c r="H3" i="5"/>
  <c r="G4" i="5"/>
  <c r="G3" i="5"/>
  <c r="J4" i="2"/>
  <c r="K4" i="2"/>
  <c r="I4" i="2"/>
  <c r="G4" i="2"/>
  <c r="H4" i="2"/>
  <c r="F4" i="2"/>
  <c r="J3" i="2"/>
  <c r="K3" i="2"/>
  <c r="I3" i="2"/>
  <c r="H3" i="2"/>
  <c r="G3" i="2"/>
  <c r="F3" i="2"/>
  <c r="D3" i="2"/>
  <c r="G5" i="4"/>
  <c r="F5" i="4"/>
  <c r="F4" i="4"/>
  <c r="F3" i="4"/>
  <c r="D10" i="1"/>
  <c r="D9" i="1"/>
  <c r="C4" i="4" s="1"/>
  <c r="D8" i="1"/>
  <c r="D7" i="1"/>
  <c r="C3" i="5" s="1"/>
  <c r="C5" i="1"/>
  <c r="B3" i="4" s="1"/>
  <c r="D5" i="1"/>
  <c r="D3" i="1"/>
  <c r="D4" i="1"/>
  <c r="C4" i="2" s="1"/>
  <c r="C14" i="1"/>
  <c r="C13" i="1"/>
  <c r="B24" i="1"/>
  <c r="B23" i="1"/>
  <c r="C9" i="1"/>
  <c r="B4" i="4" s="1"/>
  <c r="C4" i="1"/>
  <c r="B4" i="2" s="1"/>
  <c r="B3" i="2"/>
  <c r="H7" i="3"/>
  <c r="H6" i="3"/>
  <c r="H5" i="3"/>
  <c r="G5" i="3"/>
  <c r="B3" i="6"/>
  <c r="C3" i="2"/>
  <c r="O2" i="4"/>
  <c r="C4" i="5"/>
  <c r="B4" i="5"/>
  <c r="A4" i="5"/>
  <c r="B3" i="5"/>
  <c r="A3" i="5"/>
  <c r="C3" i="4"/>
  <c r="A4" i="4"/>
  <c r="A3" i="4"/>
  <c r="A4" i="2"/>
  <c r="A3" i="2"/>
  <c r="C7" i="3" l="1"/>
  <c r="D7" i="3"/>
  <c r="E7" i="3" s="1"/>
  <c r="K7" i="3" s="1"/>
  <c r="N5" i="4"/>
  <c r="P5" i="4" s="1"/>
  <c r="G6" i="3" s="1"/>
  <c r="J6" i="3" s="1"/>
  <c r="M6" i="3" s="1"/>
  <c r="O6" i="3" s="1"/>
  <c r="G3" i="3"/>
  <c r="J3" i="3" s="1"/>
  <c r="M3" i="3" s="1"/>
  <c r="O3" i="4"/>
  <c r="N5" i="3"/>
  <c r="O5" i="3"/>
  <c r="O4" i="3"/>
  <c r="H4" i="3"/>
  <c r="I7" i="3"/>
  <c r="I5" i="3"/>
  <c r="H3" i="3"/>
  <c r="I3" i="3" s="1"/>
  <c r="G7" i="3" l="1"/>
  <c r="J7" i="3" s="1"/>
  <c r="M7" i="3" s="1"/>
  <c r="O7" i="3" s="1"/>
  <c r="N6" i="3"/>
  <c r="O5" i="4"/>
  <c r="O3" i="3"/>
  <c r="N3" i="3"/>
  <c r="N7" i="3" l="1"/>
</calcChain>
</file>

<file path=xl/sharedStrings.xml><?xml version="1.0" encoding="utf-8"?>
<sst xmlns="http://schemas.openxmlformats.org/spreadsheetml/2006/main" count="139" uniqueCount="114">
  <si>
    <t>Grandezza</t>
  </si>
  <si>
    <t>Descrizione grandezza</t>
  </si>
  <si>
    <t>Vpp1</t>
  </si>
  <si>
    <t>tensione picco-picco del segnale canale 1</t>
  </si>
  <si>
    <t>Vpp2</t>
  </si>
  <si>
    <t>tensione picco-picco del segnale canale 2</t>
  </si>
  <si>
    <t>tr</t>
  </si>
  <si>
    <t>tempo di salita segnale canale 2</t>
  </si>
  <si>
    <t>sfasamento temporale</t>
  </si>
  <si>
    <t xml:space="preserve">Grandezza </t>
  </si>
  <si>
    <t>R</t>
  </si>
  <si>
    <t>C</t>
  </si>
  <si>
    <t>H</t>
  </si>
  <si>
    <t>da specifiche multimetro</t>
  </si>
  <si>
    <t>da calcolare</t>
  </si>
  <si>
    <t>da specifiche Oscilloscopio</t>
  </si>
  <si>
    <t>T</t>
  </si>
  <si>
    <t>Da calcolare</t>
  </si>
  <si>
    <t>da misurare in laboratorio</t>
  </si>
  <si>
    <t>fc</t>
  </si>
  <si>
    <t>Nelle caselle bisogna inserire solo numeri, senza unità di misura.</t>
  </si>
  <si>
    <t xml:space="preserve">valori misurati 
(Ω , F, V,  s) </t>
  </si>
  <si>
    <t>dati sulla portata:
RFS (Ω), CFS (F), kV (V/div), kt (s/div)</t>
  </si>
  <si>
    <t>f</t>
  </si>
  <si>
    <t>frequenza impostata sul generatore</t>
  </si>
  <si>
    <t>frequenza di taglio teorica nella misura di risposta al gradino</t>
  </si>
  <si>
    <t>valore della resistenza misurata con multimetro</t>
  </si>
  <si>
    <t>valore della capacità misurata con multimetro</t>
  </si>
  <si>
    <t>fc1</t>
  </si>
  <si>
    <t>frequenza di taglio teorica nella misura di FRF single-tone</t>
  </si>
  <si>
    <t xml:space="preserve">valori (Hz) </t>
  </si>
  <si>
    <t>periodo misurato dall'oscilloscopio</t>
  </si>
  <si>
    <r>
      <t>Valore (Hz</t>
    </r>
    <r>
      <rPr>
        <b/>
        <sz val="11"/>
        <color theme="1"/>
        <rFont val="Symbol"/>
        <family val="1"/>
        <charset val="2"/>
      </rPr>
      <t xml:space="preserve">) </t>
    </r>
  </si>
  <si>
    <t>Incertezza relativa in ppm
Ur_ppm</t>
  </si>
  <si>
    <t xml:space="preserve">Incertezza assoluta 
U  (Hz) </t>
  </si>
  <si>
    <t>frequenza</t>
  </si>
  <si>
    <t>da specifiche generatore</t>
  </si>
  <si>
    <t>incertezza relativa di guadagno percentuale
Ur_G_pc 
(%)</t>
  </si>
  <si>
    <t>incertezza di nonlinearità in unità LSB
U_nl_LSB 
(LSB)</t>
  </si>
  <si>
    <r>
      <t>LSB
Q 
(</t>
    </r>
    <r>
      <rPr>
        <b/>
        <sz val="11"/>
        <color theme="1"/>
        <rFont val="Calibri"/>
        <family val="2"/>
      </rPr>
      <t>Ω, F)</t>
    </r>
  </si>
  <si>
    <t>Incertezza di guadagno
U_G 
(Ω, F)</t>
  </si>
  <si>
    <t>Incertezza di nonlinearità
U_nl 
(Ω, F)</t>
  </si>
  <si>
    <t>Incertezza totale 
U 
(Ω, F)</t>
  </si>
  <si>
    <t>Incertezza relativa percentuale
Ur_pc 
(%)</t>
  </si>
  <si>
    <t>Valore
R, C
(Ω, F)</t>
  </si>
  <si>
    <t>Portata
RFS, CFS
(Ω, F)</t>
  </si>
  <si>
    <t xml:space="preserve">sensibilità verticale
kV 
(V/div) </t>
  </si>
  <si>
    <t>incertezza relativa di guadagno percentuale 
Ur_G_pc 
(%)</t>
  </si>
  <si>
    <t>incertezza di nonlinearità in % di FS
U_nl_pcFS 
(% VFS)</t>
  </si>
  <si>
    <t>numero passi di quantizzazione
M
(adim)</t>
  </si>
  <si>
    <t>velocità di sweep 
kt 
(s/div)</t>
  </si>
  <si>
    <t>Incertezza di quantizzazione 
U_q
(s)</t>
  </si>
  <si>
    <t>Portata 
tFS 
(s)</t>
  </si>
  <si>
    <t>Budget di incertezza</t>
  </si>
  <si>
    <t>budget incertezza</t>
  </si>
  <si>
    <t>Incertezza totale</t>
  </si>
  <si>
    <t>contributo U_inl
Ub 
(V)</t>
  </si>
  <si>
    <t>contributo Ur_G
Ua 
(V)</t>
  </si>
  <si>
    <t>contributo U_q
Uc 
(V)</t>
  </si>
  <si>
    <t>incertezza</t>
  </si>
  <si>
    <r>
      <t>valore 
(V</t>
    </r>
    <r>
      <rPr>
        <b/>
        <sz val="11"/>
        <color theme="1"/>
        <rFont val="Symbol"/>
        <family val="1"/>
        <charset val="2"/>
      </rPr>
      <t xml:space="preserve">) </t>
    </r>
  </si>
  <si>
    <t xml:space="preserve">grandezza </t>
  </si>
  <si>
    <t>range
VFS 
(V)</t>
  </si>
  <si>
    <t>incertezza relativa percentuale
Ur_pc
(%)</t>
  </si>
  <si>
    <t>incertezza di quantizzazione
U_q 
(V)</t>
  </si>
  <si>
    <t>incertezza di nonlin. integrale
U_inl 
(V)</t>
  </si>
  <si>
    <r>
      <t>valore
(s</t>
    </r>
    <r>
      <rPr>
        <b/>
        <sz val="11"/>
        <color theme="1"/>
        <rFont val="Symbol"/>
        <family val="1"/>
        <charset val="2"/>
      </rPr>
      <t xml:space="preserve">) </t>
    </r>
  </si>
  <si>
    <t>incertezza relativa di guadagno in ppm 
Ur_G_ppm
(ppm)</t>
  </si>
  <si>
    <t>incertezza di nonlinearità integrale
 U_inl 
(s)</t>
  </si>
  <si>
    <t>contributo Ur_G
Ua 
(s)</t>
  </si>
  <si>
    <t>contributo U_inl
Ub 
(s)</t>
  </si>
  <si>
    <t>contributo U_q
Uc 
(s)</t>
  </si>
  <si>
    <t>contributo U_skew
Ud
(s)</t>
  </si>
  <si>
    <t xml:space="preserve">incertezza totale
U  (s) </t>
  </si>
  <si>
    <t>incertezza totale 
U
(V)</t>
  </si>
  <si>
    <t>incertezza da inte-channel skew
U_skew
(s)</t>
  </si>
  <si>
    <t>incertezza relativa sull'impostazione in ppm 
Ur_setting_ppm 
(ppm)</t>
  </si>
  <si>
    <t>incertezza addizionale 
U_other 
(Hz)</t>
  </si>
  <si>
    <t>contributo Ur_setting
Ua
(Hz)</t>
  </si>
  <si>
    <t>contributo U_other
Ub
(Hz)</t>
  </si>
  <si>
    <t>Vettore grandezze ingresso</t>
  </si>
  <si>
    <t>[Vpp1, Vpp2]</t>
  </si>
  <si>
    <t>[H,f,R]</t>
  </si>
  <si>
    <t>[dt,f,R]</t>
  </si>
  <si>
    <t>C_tr</t>
  </si>
  <si>
    <t>C_H</t>
  </si>
  <si>
    <t>phi_H</t>
  </si>
  <si>
    <t>C_phi</t>
  </si>
  <si>
    <t>[tr; R,Rgen]</t>
  </si>
  <si>
    <t>Incertezza relativa
Ur
(adim)</t>
  </si>
  <si>
    <t>Ur_1</t>
  </si>
  <si>
    <t>Ur_2</t>
  </si>
  <si>
    <t>Ur_3</t>
  </si>
  <si>
    <t>Budget incertezza</t>
  </si>
  <si>
    <t>Incertezza</t>
  </si>
  <si>
    <t>dt</t>
  </si>
  <si>
    <t>Ur_theta_1</t>
  </si>
  <si>
    <t>Ur_theta_2</t>
  </si>
  <si>
    <t>Ur_theta_3</t>
  </si>
  <si>
    <t>Incertezza relativa
Ur_theta
(adim)</t>
  </si>
  <si>
    <t>Incertezza relativa percentuale
Ur_theta_pc
(%)</t>
  </si>
  <si>
    <t>Incertezza assoluta
U_theta
(F, adimensionale)</t>
  </si>
  <si>
    <t>[dt,f]</t>
  </si>
  <si>
    <r>
      <t>Valore
theta 
(F, adim)</t>
    </r>
    <r>
      <rPr>
        <b/>
        <sz val="11"/>
        <color theme="1"/>
        <rFont val="Symbol"/>
        <family val="1"/>
        <charset val="2"/>
      </rPr>
      <t xml:space="preserve"> </t>
    </r>
  </si>
  <si>
    <t>Coefficiente rel di sensibilità 1
cr_1</t>
  </si>
  <si>
    <t>Coefficiente rel di sensibilità 2
cr_2</t>
  </si>
  <si>
    <t>Coefficiente rel di sensibilità 3
cr_3</t>
  </si>
  <si>
    <t>Incertezze in ingresso</t>
  </si>
  <si>
    <r>
      <t>Tutti i valori devono essere espressi nelle unità di misura del SI senza prefissi. Ad esempio: per tr = 1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s  riportare t = 0,000001, oppure t = 1e-6</t>
    </r>
  </si>
  <si>
    <t>La portata deve essere in unità SI (ohm per la misura di R, farad per la misura di C); per le misure con oscilloscopio riportare l'impostazione di V/div o di s/div.</t>
  </si>
  <si>
    <t>R1</t>
  </si>
  <si>
    <t>Rgen</t>
  </si>
  <si>
    <t>valori teorici</t>
  </si>
  <si>
    <t>Grandezze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</si>
</sst>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sz val="8"/>
      <name val="Calibri"/>
      <family val="2"/>
      <scheme val="minor"/>
    </font>
    <font>
      <sz val="11"/>
      <color theme="1"/>
      <name val="Symbol"/>
      <family val="1"/>
      <charset val="2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0" fontId="1" fillId="8" borderId="6" xfId="0" applyFont="1" applyFill="1" applyBorder="1" applyAlignment="1">
      <alignment horizontal="center" wrapText="1"/>
    </xf>
    <xf numFmtId="0" fontId="0" fillId="8" borderId="1" xfId="0" applyFill="1" applyBorder="1"/>
    <xf numFmtId="0" fontId="1" fillId="0" borderId="4" xfId="0" applyFont="1" applyBorder="1"/>
    <xf numFmtId="0" fontId="0" fillId="0" borderId="4" xfId="0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0" fillId="7" borderId="5" xfId="0" applyFill="1" applyBorder="1"/>
    <xf numFmtId="0" fontId="1" fillId="3" borderId="1" xfId="0" applyFont="1" applyFill="1" applyBorder="1" applyAlignment="1">
      <alignment horizontal="center"/>
    </xf>
    <xf numFmtId="0" fontId="0" fillId="9" borderId="1" xfId="0" applyFill="1" applyBorder="1"/>
    <xf numFmtId="0" fontId="1" fillId="4" borderId="1" xfId="0" applyFont="1" applyFill="1" applyBorder="1"/>
    <xf numFmtId="0" fontId="0" fillId="0" borderId="5" xfId="0" applyBorder="1" applyAlignment="1">
      <alignment horizontal="right"/>
    </xf>
    <xf numFmtId="0" fontId="0" fillId="7" borderId="5" xfId="0" applyFill="1" applyBorder="1" applyAlignment="1">
      <alignment horizontal="right"/>
    </xf>
    <xf numFmtId="0" fontId="0" fillId="0" borderId="1" xfId="0" applyBorder="1" applyAlignment="1">
      <alignment horizontal="right"/>
    </xf>
    <xf numFmtId="11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1" fillId="4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1" fillId="7" borderId="8" xfId="0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 wrapText="1"/>
    </xf>
    <xf numFmtId="0" fontId="1" fillId="8" borderId="8" xfId="0" applyFont="1" applyFill="1" applyBorder="1" applyAlignment="1">
      <alignment horizontal="center" wrapText="1"/>
    </xf>
    <xf numFmtId="0" fontId="1" fillId="8" borderId="7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1A20-E8E7-4AA2-8DC4-510140586683}">
  <dimension ref="A1:D24"/>
  <sheetViews>
    <sheetView tabSelected="1" zoomScale="115" zoomScaleNormal="115" workbookViewId="0">
      <selection activeCell="B23" sqref="B23"/>
    </sheetView>
  </sheetViews>
  <sheetFormatPr defaultColWidth="8.88671875" defaultRowHeight="14.4" x14ac:dyDescent="0.3"/>
  <cols>
    <col min="1" max="1" width="18.44140625" customWidth="1"/>
    <col min="2" max="2" width="55.6640625" bestFit="1" customWidth="1"/>
    <col min="3" max="3" width="24.6640625" customWidth="1"/>
    <col min="4" max="4" width="40.109375" customWidth="1"/>
  </cols>
  <sheetData>
    <row r="1" spans="1:4" x14ac:dyDescent="0.3">
      <c r="C1" s="30" t="s">
        <v>18</v>
      </c>
      <c r="D1" s="31"/>
    </row>
    <row r="2" spans="1:4" ht="28.8" x14ac:dyDescent="0.3">
      <c r="A2" s="1" t="s">
        <v>0</v>
      </c>
      <c r="B2" s="1" t="s">
        <v>1</v>
      </c>
      <c r="C2" s="13" t="s">
        <v>21</v>
      </c>
      <c r="D2" s="13" t="s">
        <v>22</v>
      </c>
    </row>
    <row r="3" spans="1:4" x14ac:dyDescent="0.3">
      <c r="A3" s="3" t="s">
        <v>10</v>
      </c>
      <c r="B3" s="3" t="s">
        <v>26</v>
      </c>
      <c r="C3" s="27">
        <v>99.61</v>
      </c>
      <c r="D3" s="25">
        <f>500</f>
        <v>500</v>
      </c>
    </row>
    <row r="4" spans="1:4" x14ac:dyDescent="0.3">
      <c r="A4" s="3" t="s">
        <v>11</v>
      </c>
      <c r="B4" s="3" t="s">
        <v>27</v>
      </c>
      <c r="C4" s="28">
        <f>46.61*10^-9</f>
        <v>4.6610000000000005E-8</v>
      </c>
      <c r="D4" s="25">
        <f>100*10^-9</f>
        <v>1.0000000000000001E-7</v>
      </c>
    </row>
    <row r="5" spans="1:4" x14ac:dyDescent="0.3">
      <c r="A5" s="3" t="s">
        <v>6</v>
      </c>
      <c r="B5" s="3" t="s">
        <v>7</v>
      </c>
      <c r="C5" s="27">
        <f>15.86*10^-6</f>
        <v>1.5859999999999997E-5</v>
      </c>
      <c r="D5" s="25">
        <f>20*10^-6</f>
        <v>1.9999999999999998E-5</v>
      </c>
    </row>
    <row r="6" spans="1:4" ht="13.65" customHeight="1" x14ac:dyDescent="0.3">
      <c r="A6" s="3" t="s">
        <v>23</v>
      </c>
      <c r="B6" s="3" t="s">
        <v>24</v>
      </c>
      <c r="C6" s="27">
        <v>100000</v>
      </c>
      <c r="D6" s="26"/>
    </row>
    <row r="7" spans="1:4" x14ac:dyDescent="0.3">
      <c r="A7" s="3" t="s">
        <v>2</v>
      </c>
      <c r="B7" s="3" t="s">
        <v>3</v>
      </c>
      <c r="C7" s="27">
        <v>1.379</v>
      </c>
      <c r="D7" s="25">
        <f>200*10^-3</f>
        <v>0.2</v>
      </c>
    </row>
    <row r="8" spans="1:4" x14ac:dyDescent="0.3">
      <c r="A8" s="3" t="s">
        <v>4</v>
      </c>
      <c r="B8" s="3" t="s">
        <v>5</v>
      </c>
      <c r="C8" s="27">
        <v>0.4415</v>
      </c>
      <c r="D8" s="25">
        <f>100*10^-3</f>
        <v>0.1</v>
      </c>
    </row>
    <row r="9" spans="1:4" ht="13.65" customHeight="1" x14ac:dyDescent="0.3">
      <c r="A9" s="3" t="s">
        <v>16</v>
      </c>
      <c r="B9" s="3" t="s">
        <v>31</v>
      </c>
      <c r="C9" s="27">
        <f>9.997*10^-6</f>
        <v>9.9969999999999993E-6</v>
      </c>
      <c r="D9" s="25">
        <f>2*10^-6</f>
        <v>1.9999999999999999E-6</v>
      </c>
    </row>
    <row r="10" spans="1:4" x14ac:dyDescent="0.3">
      <c r="A10" s="3" t="s">
        <v>95</v>
      </c>
      <c r="B10" s="3" t="s">
        <v>8</v>
      </c>
      <c r="C10" s="29">
        <f>-1.95*10^-6</f>
        <v>-1.95E-6</v>
      </c>
      <c r="D10" s="25">
        <f>500*10^-9</f>
        <v>5.0000000000000008E-7</v>
      </c>
    </row>
    <row r="11" spans="1:4" ht="13.65" customHeight="1" x14ac:dyDescent="0.3">
      <c r="D11" s="8"/>
    </row>
    <row r="12" spans="1:4" x14ac:dyDescent="0.3">
      <c r="A12" s="1" t="s">
        <v>0</v>
      </c>
      <c r="B12" s="1" t="s">
        <v>1</v>
      </c>
      <c r="C12" s="2" t="s">
        <v>30</v>
      </c>
    </row>
    <row r="13" spans="1:4" x14ac:dyDescent="0.3">
      <c r="A13" s="3" t="s">
        <v>28</v>
      </c>
      <c r="B13" s="3" t="s">
        <v>25</v>
      </c>
      <c r="C13" s="27">
        <f>1/(2*PI()*B23*B24)</f>
        <v>22575.169232892953</v>
      </c>
    </row>
    <row r="14" spans="1:4" x14ac:dyDescent="0.3">
      <c r="A14" s="3" t="s">
        <v>19</v>
      </c>
      <c r="B14" s="3" t="s">
        <v>29</v>
      </c>
      <c r="C14" s="27">
        <f>1/(2*PI()*B22*B24)</f>
        <v>33862.753849339431</v>
      </c>
    </row>
    <row r="16" spans="1:4" x14ac:dyDescent="0.3">
      <c r="A16" t="s">
        <v>20</v>
      </c>
    </row>
    <row r="17" spans="1:2" x14ac:dyDescent="0.3">
      <c r="A17" t="s">
        <v>108</v>
      </c>
    </row>
    <row r="18" spans="1:2" x14ac:dyDescent="0.3">
      <c r="A18" t="s">
        <v>109</v>
      </c>
    </row>
    <row r="20" spans="1:2" x14ac:dyDescent="0.3">
      <c r="A20" s="24" t="s">
        <v>113</v>
      </c>
      <c r="B20" s="24" t="s">
        <v>112</v>
      </c>
    </row>
    <row r="21" spans="1:2" x14ac:dyDescent="0.3">
      <c r="A21" s="3" t="s">
        <v>111</v>
      </c>
      <c r="B21" s="3">
        <v>50</v>
      </c>
    </row>
    <row r="22" spans="1:2" x14ac:dyDescent="0.3">
      <c r="A22" s="3" t="s">
        <v>10</v>
      </c>
      <c r="B22" s="3">
        <v>100</v>
      </c>
    </row>
    <row r="23" spans="1:2" x14ac:dyDescent="0.3">
      <c r="A23" s="3" t="s">
        <v>110</v>
      </c>
      <c r="B23" s="3">
        <f>B21+B22</f>
        <v>150</v>
      </c>
    </row>
    <row r="24" spans="1:2" x14ac:dyDescent="0.3">
      <c r="A24" s="3" t="s">
        <v>11</v>
      </c>
      <c r="B24" s="3">
        <f>47*10^-9</f>
        <v>4.7000000000000004E-8</v>
      </c>
    </row>
  </sheetData>
  <mergeCells count="1">
    <mergeCell ref="C1:D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FA0D-122F-487E-B205-3F69851387AF}">
  <dimension ref="A1:K4"/>
  <sheetViews>
    <sheetView zoomScaleNormal="100" workbookViewId="0">
      <selection activeCell="K24" sqref="K24"/>
    </sheetView>
  </sheetViews>
  <sheetFormatPr defaultColWidth="8.88671875" defaultRowHeight="14.4" x14ac:dyDescent="0.3"/>
  <cols>
    <col min="1" max="1" width="10.6640625" bestFit="1" customWidth="1"/>
    <col min="2" max="2" width="9" bestFit="1" customWidth="1"/>
    <col min="3" max="3" width="11" customWidth="1"/>
    <col min="4" max="4" width="20.44140625" bestFit="1" customWidth="1"/>
    <col min="5" max="5" width="24.5546875" customWidth="1"/>
    <col min="6" max="6" width="11.33203125" bestFit="1" customWidth="1"/>
    <col min="7" max="7" width="18.88671875" bestFit="1" customWidth="1"/>
    <col min="8" max="8" width="19.33203125" bestFit="1" customWidth="1"/>
    <col min="9" max="9" width="15.88671875" bestFit="1" customWidth="1"/>
    <col min="10" max="10" width="19.44140625" bestFit="1" customWidth="1"/>
    <col min="11" max="11" width="17.44140625" customWidth="1"/>
  </cols>
  <sheetData>
    <row r="1" spans="1:11" x14ac:dyDescent="0.3">
      <c r="A1" s="3"/>
      <c r="B1" s="3"/>
      <c r="C1" s="3"/>
      <c r="D1" s="32" t="s">
        <v>13</v>
      </c>
      <c r="E1" s="32"/>
      <c r="F1" s="32"/>
      <c r="G1" s="33" t="s">
        <v>54</v>
      </c>
      <c r="H1" s="33"/>
      <c r="I1" s="34" t="s">
        <v>55</v>
      </c>
      <c r="J1" s="34"/>
      <c r="K1" s="34"/>
    </row>
    <row r="2" spans="1:11" ht="57.6" x14ac:dyDescent="0.3">
      <c r="A2" s="11" t="s">
        <v>9</v>
      </c>
      <c r="B2" s="12" t="s">
        <v>44</v>
      </c>
      <c r="C2" s="12" t="s">
        <v>45</v>
      </c>
      <c r="D2" s="9" t="s">
        <v>37</v>
      </c>
      <c r="E2" s="9" t="s">
        <v>38</v>
      </c>
      <c r="F2" s="9" t="s">
        <v>39</v>
      </c>
      <c r="G2" s="14" t="s">
        <v>40</v>
      </c>
      <c r="H2" s="14" t="s">
        <v>41</v>
      </c>
      <c r="I2" s="15" t="s">
        <v>42</v>
      </c>
      <c r="J2" s="15" t="s">
        <v>43</v>
      </c>
      <c r="K2" s="15" t="s">
        <v>89</v>
      </c>
    </row>
    <row r="3" spans="1:11" x14ac:dyDescent="0.3">
      <c r="A3" s="7" t="str">
        <f>'1 - Misure in laboratorio'!A3</f>
        <v>R</v>
      </c>
      <c r="B3" s="7">
        <f>'1 - Misure in laboratorio'!C3</f>
        <v>99.61</v>
      </c>
      <c r="C3" s="7">
        <f>'1 - Misure in laboratorio'!D3</f>
        <v>500</v>
      </c>
      <c r="D3" s="3">
        <f>0.05</f>
        <v>0.05</v>
      </c>
      <c r="E3" s="3">
        <v>10</v>
      </c>
      <c r="F3" s="3">
        <f>0.01</f>
        <v>0.01</v>
      </c>
      <c r="G3" s="3">
        <f>D3/100*ABS(B3)</f>
        <v>4.9805000000000002E-2</v>
      </c>
      <c r="H3" s="3">
        <f>E3*F3</f>
        <v>0.1</v>
      </c>
      <c r="I3" s="3">
        <f>G3+H3</f>
        <v>0.14980500000000002</v>
      </c>
      <c r="J3" s="3">
        <f>K3*100</f>
        <v>0.150391526955125</v>
      </c>
      <c r="K3" s="3">
        <f>I3/ABS(B3)</f>
        <v>1.50391526955125E-3</v>
      </c>
    </row>
    <row r="4" spans="1:11" x14ac:dyDescent="0.3">
      <c r="A4" s="7" t="str">
        <f>'1 - Misure in laboratorio'!A4</f>
        <v>C</v>
      </c>
      <c r="B4" s="7">
        <f>'1 - Misure in laboratorio'!C4</f>
        <v>4.6610000000000005E-8</v>
      </c>
      <c r="C4" s="7">
        <f>'1 - Misure in laboratorio'!D4</f>
        <v>1.0000000000000001E-7</v>
      </c>
      <c r="D4" s="3">
        <v>1</v>
      </c>
      <c r="E4" s="3">
        <v>5</v>
      </c>
      <c r="F4" s="3">
        <f>0.01*10^-9</f>
        <v>1.0000000000000001E-11</v>
      </c>
      <c r="G4" s="3">
        <f>D4/100*ABS(B4)</f>
        <v>4.6610000000000008E-10</v>
      </c>
      <c r="H4" s="3">
        <f>E4*F4</f>
        <v>5.0000000000000008E-11</v>
      </c>
      <c r="I4" s="3">
        <f>G4+H4</f>
        <v>5.1610000000000011E-10</v>
      </c>
      <c r="J4" s="3">
        <f>K4*100</f>
        <v>1.1072731173567905</v>
      </c>
      <c r="K4" s="3">
        <f>I4/ABS(B4)</f>
        <v>1.1072731173567905E-2</v>
      </c>
    </row>
  </sheetData>
  <mergeCells count="3">
    <mergeCell ref="D1:F1"/>
    <mergeCell ref="G1:H1"/>
    <mergeCell ref="I1:K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FBA64-F1D6-4950-BC21-7C6D706511DD}">
  <dimension ref="A1:O5"/>
  <sheetViews>
    <sheetView zoomScaleNormal="100" workbookViewId="0">
      <selection activeCell="M9" sqref="M9"/>
    </sheetView>
  </sheetViews>
  <sheetFormatPr defaultColWidth="8.88671875" defaultRowHeight="14.4" x14ac:dyDescent="0.3"/>
  <cols>
    <col min="1" max="1" width="10.6640625" bestFit="1" customWidth="1"/>
    <col min="2" max="2" width="6.88671875" bestFit="1" customWidth="1"/>
    <col min="3" max="3" width="10.33203125" bestFit="1" customWidth="1"/>
    <col min="4" max="4" width="15.44140625" bestFit="1" customWidth="1"/>
    <col min="5" max="5" width="22.33203125" customWidth="1"/>
    <col min="6" max="6" width="23.88671875" customWidth="1"/>
    <col min="7" max="7" width="8.6640625" customWidth="1"/>
    <col min="8" max="8" width="17.88671875" customWidth="1"/>
    <col min="9" max="9" width="16.6640625" customWidth="1"/>
    <col min="10" max="10" width="15.44140625" bestFit="1" customWidth="1"/>
    <col min="11" max="11" width="15.5546875" bestFit="1" customWidth="1"/>
    <col min="12" max="12" width="14.44140625" bestFit="1" customWidth="1"/>
    <col min="13" max="13" width="15.88671875" bestFit="1" customWidth="1"/>
    <col min="14" max="14" width="17.44140625" bestFit="1" customWidth="1"/>
    <col min="15" max="15" width="10" bestFit="1" customWidth="1"/>
  </cols>
  <sheetData>
    <row r="1" spans="1:15" x14ac:dyDescent="0.3">
      <c r="A1" s="3"/>
      <c r="B1" s="3"/>
      <c r="C1" s="3"/>
      <c r="D1" s="35" t="s">
        <v>15</v>
      </c>
      <c r="E1" s="35"/>
      <c r="F1" s="35"/>
      <c r="G1" s="36" t="s">
        <v>14</v>
      </c>
      <c r="H1" s="36"/>
      <c r="I1" s="36"/>
      <c r="J1" s="33" t="s">
        <v>54</v>
      </c>
      <c r="K1" s="33"/>
      <c r="L1" s="33"/>
      <c r="M1" s="37" t="s">
        <v>59</v>
      </c>
      <c r="N1" s="38"/>
      <c r="O1" s="39"/>
    </row>
    <row r="2" spans="1:15" ht="57.6" x14ac:dyDescent="0.3">
      <c r="A2" s="11" t="s">
        <v>61</v>
      </c>
      <c r="B2" s="12" t="s">
        <v>60</v>
      </c>
      <c r="C2" s="12" t="s">
        <v>46</v>
      </c>
      <c r="D2" s="9" t="s">
        <v>49</v>
      </c>
      <c r="E2" s="9" t="s">
        <v>47</v>
      </c>
      <c r="F2" s="9" t="s">
        <v>48</v>
      </c>
      <c r="G2" s="10" t="s">
        <v>62</v>
      </c>
      <c r="H2" s="10" t="s">
        <v>64</v>
      </c>
      <c r="I2" s="10" t="s">
        <v>65</v>
      </c>
      <c r="J2" s="14" t="s">
        <v>57</v>
      </c>
      <c r="K2" s="14" t="s">
        <v>56</v>
      </c>
      <c r="L2" s="14" t="s">
        <v>58</v>
      </c>
      <c r="M2" s="15" t="s">
        <v>74</v>
      </c>
      <c r="N2" s="15" t="s">
        <v>63</v>
      </c>
      <c r="O2" s="15" t="s">
        <v>89</v>
      </c>
    </row>
    <row r="3" spans="1:15" x14ac:dyDescent="0.3">
      <c r="A3" s="7" t="str">
        <f>'1 - Misure in laboratorio'!A7</f>
        <v>Vpp1</v>
      </c>
      <c r="B3" s="7">
        <f>'1 - Misure in laboratorio'!C7</f>
        <v>1.379</v>
      </c>
      <c r="C3" s="7">
        <f>'1 - Misure in laboratorio'!D7</f>
        <v>0.2</v>
      </c>
      <c r="D3" s="3">
        <v>256</v>
      </c>
      <c r="E3" s="3">
        <v>3</v>
      </c>
      <c r="F3" s="3">
        <v>0.25</v>
      </c>
      <c r="G3" s="3">
        <f>C3*8</f>
        <v>1.6</v>
      </c>
      <c r="H3" s="3">
        <f>G3/D3/2</f>
        <v>3.1250000000000002E-3</v>
      </c>
      <c r="I3" s="3">
        <f>F3/100*G3-H3</f>
        <v>8.7499999999999991E-4</v>
      </c>
      <c r="J3" s="3">
        <f>E3/100*ABS(B3)</f>
        <v>4.1369999999999997E-2</v>
      </c>
      <c r="K3" s="3">
        <f>2*I3</f>
        <v>1.7499999999999998E-3</v>
      </c>
      <c r="L3" s="3">
        <f>2*H3</f>
        <v>6.2500000000000003E-3</v>
      </c>
      <c r="M3" s="3">
        <f>J3+K3+L3</f>
        <v>4.9369999999999997E-2</v>
      </c>
      <c r="N3" s="3">
        <f>O3*100</f>
        <v>3.5801305293691077</v>
      </c>
      <c r="O3" s="3">
        <f>M3/ABS(B3)</f>
        <v>3.5801305293691077E-2</v>
      </c>
    </row>
    <row r="4" spans="1:15" x14ac:dyDescent="0.3">
      <c r="A4" s="7" t="str">
        <f>'1 - Misure in laboratorio'!A8</f>
        <v>Vpp2</v>
      </c>
      <c r="B4" s="7">
        <f>'1 - Misure in laboratorio'!C8</f>
        <v>0.4415</v>
      </c>
      <c r="C4" s="7">
        <f>'1 - Misure in laboratorio'!D8</f>
        <v>0.1</v>
      </c>
      <c r="D4" s="3">
        <v>256</v>
      </c>
      <c r="E4" s="3">
        <v>3</v>
      </c>
      <c r="F4" s="3">
        <v>0.25</v>
      </c>
      <c r="G4" s="3">
        <f>C4*8</f>
        <v>0.8</v>
      </c>
      <c r="H4" s="3">
        <f>G4/D4/2</f>
        <v>1.5625000000000001E-3</v>
      </c>
      <c r="I4" s="3">
        <f>F4/100*G4-H4</f>
        <v>4.3749999999999995E-4</v>
      </c>
      <c r="J4" s="3">
        <f>E4/100*ABS(B4)</f>
        <v>1.3245E-2</v>
      </c>
      <c r="K4" s="3">
        <f>2*I4</f>
        <v>8.7499999999999991E-4</v>
      </c>
      <c r="L4" s="3">
        <f>2*H4</f>
        <v>3.1250000000000002E-3</v>
      </c>
      <c r="M4" s="3">
        <f>J4+K4+L4</f>
        <v>1.7245E-2</v>
      </c>
      <c r="N4" s="3">
        <f>O4*100</f>
        <v>3.9060022650056627</v>
      </c>
      <c r="O4" s="3">
        <f>M4/ABS(B4)</f>
        <v>3.9060022650056626E-2</v>
      </c>
    </row>
    <row r="5" spans="1:15" x14ac:dyDescent="0.3">
      <c r="G5" s="8"/>
    </row>
  </sheetData>
  <mergeCells count="4">
    <mergeCell ref="D1:F1"/>
    <mergeCell ref="G1:I1"/>
    <mergeCell ref="J1:L1"/>
    <mergeCell ref="M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84D0-0677-4EED-9E98-6533261E9954}">
  <dimension ref="A1:P6"/>
  <sheetViews>
    <sheetView workbookViewId="0">
      <selection activeCell="M14" sqref="M14"/>
    </sheetView>
  </sheetViews>
  <sheetFormatPr defaultColWidth="8.88671875" defaultRowHeight="14.4" x14ac:dyDescent="0.3"/>
  <cols>
    <col min="1" max="1" width="10.6640625" bestFit="1" customWidth="1"/>
    <col min="2" max="2" width="6.5546875" bestFit="1" customWidth="1"/>
    <col min="3" max="3" width="10.109375" bestFit="1" customWidth="1"/>
    <col min="4" max="4" width="15.109375" bestFit="1" customWidth="1"/>
    <col min="5" max="5" width="19.5546875" bestFit="1" customWidth="1"/>
    <col min="6" max="6" width="23.109375" customWidth="1"/>
    <col min="7" max="7" width="17.5546875" bestFit="1" customWidth="1"/>
    <col min="8" max="8" width="11.44140625" bestFit="1" customWidth="1"/>
    <col min="9" max="9" width="14.44140625" bestFit="1" customWidth="1"/>
    <col min="10" max="10" width="15" customWidth="1"/>
    <col min="11" max="11" width="15.44140625" customWidth="1"/>
    <col min="12" max="12" width="14" customWidth="1"/>
    <col min="13" max="13" width="17.88671875" customWidth="1"/>
    <col min="14" max="14" width="11.5546875" customWidth="1"/>
    <col min="15" max="15" width="18" customWidth="1"/>
    <col min="16" max="16" width="17.5546875" customWidth="1"/>
  </cols>
  <sheetData>
    <row r="1" spans="1:16" x14ac:dyDescent="0.3">
      <c r="A1" s="3"/>
      <c r="B1" s="3"/>
      <c r="C1" s="3"/>
      <c r="D1" s="35" t="s">
        <v>15</v>
      </c>
      <c r="E1" s="35"/>
      <c r="F1" s="35"/>
      <c r="G1" s="35"/>
      <c r="H1" s="36" t="s">
        <v>14</v>
      </c>
      <c r="I1" s="36"/>
      <c r="J1" s="33" t="s">
        <v>53</v>
      </c>
      <c r="K1" s="33"/>
      <c r="L1" s="33"/>
      <c r="M1" s="33"/>
      <c r="N1" s="40" t="s">
        <v>59</v>
      </c>
      <c r="O1" s="40"/>
      <c r="P1" s="40"/>
    </row>
    <row r="2" spans="1:16" ht="57.6" x14ac:dyDescent="0.3">
      <c r="A2" s="5" t="s">
        <v>61</v>
      </c>
      <c r="B2" s="12" t="s">
        <v>66</v>
      </c>
      <c r="C2" s="12" t="s">
        <v>50</v>
      </c>
      <c r="D2" s="9" t="s">
        <v>49</v>
      </c>
      <c r="E2" s="9" t="s">
        <v>67</v>
      </c>
      <c r="F2" s="9" t="s">
        <v>68</v>
      </c>
      <c r="G2" s="9" t="s">
        <v>75</v>
      </c>
      <c r="H2" s="10" t="s">
        <v>52</v>
      </c>
      <c r="I2" s="10" t="s">
        <v>51</v>
      </c>
      <c r="J2" s="14" t="s">
        <v>69</v>
      </c>
      <c r="K2" s="14" t="s">
        <v>70</v>
      </c>
      <c r="L2" s="14" t="s">
        <v>71</v>
      </c>
      <c r="M2" s="14" t="s">
        <v>72</v>
      </c>
      <c r="N2" s="15" t="s">
        <v>73</v>
      </c>
      <c r="O2" s="15" t="str">
        <f>'3 - Incertezza misure tensione'!N2</f>
        <v>incertezza relativa percentuale
Ur_pc
(%)</v>
      </c>
      <c r="P2" s="15" t="s">
        <v>89</v>
      </c>
    </row>
    <row r="3" spans="1:16" x14ac:dyDescent="0.3">
      <c r="A3" s="7" t="str">
        <f>'1 - Misure in laboratorio'!A5</f>
        <v>tr</v>
      </c>
      <c r="B3" s="7">
        <f>'1 - Misure in laboratorio'!C5</f>
        <v>1.5859999999999997E-5</v>
      </c>
      <c r="C3" s="7">
        <f>'1 - Misure in laboratorio'!D5</f>
        <v>1.9999999999999998E-5</v>
      </c>
      <c r="D3" s="3">
        <v>625</v>
      </c>
      <c r="E3" s="3">
        <v>55</v>
      </c>
      <c r="F3" s="3">
        <f>100*10^-12</f>
        <v>1E-10</v>
      </c>
      <c r="G3" s="3">
        <v>0</v>
      </c>
      <c r="H3" s="4">
        <f>C3*10</f>
        <v>1.9999999999999998E-4</v>
      </c>
      <c r="I3" s="3">
        <f>H3/D3/2</f>
        <v>1.5999999999999998E-7</v>
      </c>
      <c r="J3" s="3">
        <f>E3/1000000*ABS(B3)</f>
        <v>8.7229999999999987E-10</v>
      </c>
      <c r="K3" s="3">
        <f>2*F3</f>
        <v>2.0000000000000001E-10</v>
      </c>
      <c r="L3" s="3">
        <f>2*I3</f>
        <v>3.1999999999999995E-7</v>
      </c>
      <c r="M3" s="3">
        <f>G3</f>
        <v>0</v>
      </c>
      <c r="N3" s="3">
        <f>J3+K3+L3+M3</f>
        <v>3.2107229999999993E-7</v>
      </c>
      <c r="O3" s="3">
        <f>P3*100</f>
        <v>2.0244155107187893</v>
      </c>
      <c r="P3" s="3">
        <f>N3/ABS(B3)</f>
        <v>2.0244155107187894E-2</v>
      </c>
    </row>
    <row r="4" spans="1:16" x14ac:dyDescent="0.3">
      <c r="A4" s="7" t="str">
        <f>'1 - Misure in laboratorio'!A9</f>
        <v>T</v>
      </c>
      <c r="B4" s="7">
        <f>'1 - Misure in laboratorio'!C9</f>
        <v>9.9969999999999993E-6</v>
      </c>
      <c r="C4" s="7">
        <f>'1 - Misure in laboratorio'!D9</f>
        <v>1.9999999999999999E-6</v>
      </c>
      <c r="D4" s="3">
        <v>625</v>
      </c>
      <c r="E4" s="3">
        <v>55</v>
      </c>
      <c r="F4" s="3">
        <f>100*10^-12</f>
        <v>1E-10</v>
      </c>
      <c r="G4" s="3">
        <v>0</v>
      </c>
      <c r="H4" s="4">
        <f t="shared" ref="H4:H5" si="0">C4*10</f>
        <v>1.9999999999999998E-5</v>
      </c>
      <c r="I4" s="3">
        <f t="shared" ref="I4:I5" si="1">H4/D4/2</f>
        <v>1.5999999999999998E-8</v>
      </c>
      <c r="J4" s="3">
        <f t="shared" ref="J4:J5" si="2">E4/1000000*ABS(B4)</f>
        <v>5.4983499999999999E-10</v>
      </c>
      <c r="K4" s="3">
        <f t="shared" ref="K4:K5" si="3">2*F4</f>
        <v>2.0000000000000001E-10</v>
      </c>
      <c r="L4" s="3">
        <f t="shared" ref="L4:L5" si="4">2*I4</f>
        <v>3.1999999999999995E-8</v>
      </c>
      <c r="M4" s="3">
        <f>G4</f>
        <v>0</v>
      </c>
      <c r="N4" s="3">
        <f t="shared" ref="N4:N5" si="5">J4+K4+L4+M4</f>
        <v>3.2749834999999996E-8</v>
      </c>
      <c r="O4" s="3">
        <f t="shared" ref="O4:O5" si="6">P4*100</f>
        <v>0.32759662898869657</v>
      </c>
      <c r="P4" s="3">
        <f t="shared" ref="P4:P5" si="7">N4/ABS(B4)</f>
        <v>3.2759662898869659E-3</v>
      </c>
    </row>
    <row r="5" spans="1:16" x14ac:dyDescent="0.3">
      <c r="A5" s="7" t="s">
        <v>95</v>
      </c>
      <c r="B5" s="7">
        <f>'1 - Misure in laboratorio'!C10</f>
        <v>-1.95E-6</v>
      </c>
      <c r="C5" s="7">
        <f>'1 - Misure in laboratorio'!D10</f>
        <v>5.0000000000000008E-7</v>
      </c>
      <c r="D5" s="3">
        <v>625</v>
      </c>
      <c r="E5" s="3">
        <v>55</v>
      </c>
      <c r="F5" s="3">
        <f>100*10^-12</f>
        <v>1E-10</v>
      </c>
      <c r="G5" s="3">
        <f>0.000000001</f>
        <v>1.0000000000000001E-9</v>
      </c>
      <c r="H5" s="4">
        <f t="shared" si="0"/>
        <v>5.0000000000000013E-6</v>
      </c>
      <c r="I5" s="3">
        <f t="shared" si="1"/>
        <v>4.0000000000000011E-9</v>
      </c>
      <c r="J5" s="3">
        <f t="shared" si="2"/>
        <v>1.0725E-10</v>
      </c>
      <c r="K5" s="3">
        <f t="shared" si="3"/>
        <v>2.0000000000000001E-10</v>
      </c>
      <c r="L5" s="3">
        <f t="shared" si="4"/>
        <v>8.0000000000000022E-9</v>
      </c>
      <c r="M5" s="3">
        <f>G5</f>
        <v>1.0000000000000001E-9</v>
      </c>
      <c r="N5" s="3">
        <f t="shared" si="5"/>
        <v>9.3072500000000022E-9</v>
      </c>
      <c r="O5" s="3">
        <f t="shared" si="6"/>
        <v>0.47729487179487196</v>
      </c>
      <c r="P5" s="3">
        <f t="shared" si="7"/>
        <v>4.7729487179487195E-3</v>
      </c>
    </row>
    <row r="6" spans="1:16" x14ac:dyDescent="0.3">
      <c r="I6" s="8"/>
    </row>
  </sheetData>
  <mergeCells count="4">
    <mergeCell ref="D1:G1"/>
    <mergeCell ref="H1:I1"/>
    <mergeCell ref="J1:M1"/>
    <mergeCell ref="N1:P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7E55A-050D-4E3D-8C36-4622B47235CF}">
  <dimension ref="A1:I3"/>
  <sheetViews>
    <sheetView workbookViewId="0">
      <selection activeCell="C5" sqref="C5"/>
    </sheetView>
  </sheetViews>
  <sheetFormatPr defaultRowHeight="14.4" x14ac:dyDescent="0.3"/>
  <cols>
    <col min="1" max="1" width="10.6640625" bestFit="1" customWidth="1"/>
    <col min="2" max="2" width="11" bestFit="1" customWidth="1"/>
    <col min="3" max="3" width="41.33203125" customWidth="1"/>
    <col min="4" max="4" width="21" bestFit="1" customWidth="1"/>
    <col min="5" max="6" width="21" customWidth="1"/>
    <col min="7" max="7" width="18" bestFit="1" customWidth="1"/>
    <col min="8" max="8" width="24.109375" bestFit="1" customWidth="1"/>
    <col min="9" max="9" width="17.6640625" customWidth="1"/>
  </cols>
  <sheetData>
    <row r="1" spans="1:9" x14ac:dyDescent="0.3">
      <c r="C1" s="41" t="s">
        <v>36</v>
      </c>
      <c r="D1" s="42"/>
      <c r="E1" s="43" t="s">
        <v>54</v>
      </c>
      <c r="F1" s="44"/>
      <c r="G1" s="45" t="s">
        <v>59</v>
      </c>
      <c r="H1" s="46"/>
      <c r="I1" s="46"/>
    </row>
    <row r="2" spans="1:9" ht="43.2" x14ac:dyDescent="0.3">
      <c r="A2" s="5" t="s">
        <v>9</v>
      </c>
      <c r="B2" s="6" t="s">
        <v>32</v>
      </c>
      <c r="C2" s="9" t="s">
        <v>76</v>
      </c>
      <c r="D2" s="9" t="s">
        <v>77</v>
      </c>
      <c r="E2" s="14" t="s">
        <v>78</v>
      </c>
      <c r="F2" s="14" t="s">
        <v>79</v>
      </c>
      <c r="G2" s="15" t="s">
        <v>34</v>
      </c>
      <c r="H2" s="16" t="s">
        <v>33</v>
      </c>
      <c r="I2" s="15" t="s">
        <v>89</v>
      </c>
    </row>
    <row r="3" spans="1:9" x14ac:dyDescent="0.3">
      <c r="A3" s="7" t="s">
        <v>35</v>
      </c>
      <c r="B3" s="7">
        <f>'1 - Misure in laboratorio'!C6</f>
        <v>100000</v>
      </c>
      <c r="C3" s="3">
        <v>1</v>
      </c>
      <c r="D3" s="3">
        <f>15*10^-12</f>
        <v>1.5E-11</v>
      </c>
      <c r="E3" s="3">
        <f>C3/1000000*ABS(B3)</f>
        <v>9.9999999999999992E-2</v>
      </c>
      <c r="F3" s="3">
        <f>D3</f>
        <v>1.5E-11</v>
      </c>
      <c r="G3" s="3">
        <f>E3+F3</f>
        <v>0.10000000001499999</v>
      </c>
      <c r="H3" s="3">
        <f>I3*1000000</f>
        <v>1.00000000015</v>
      </c>
      <c r="I3" s="3">
        <f>G3/ABS(B3)</f>
        <v>1.00000000015E-6</v>
      </c>
    </row>
  </sheetData>
  <mergeCells count="3">
    <mergeCell ref="C1:D1"/>
    <mergeCell ref="E1:F1"/>
    <mergeCell ref="G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96BA-5C01-421B-9493-75F72CC6FF51}">
  <dimension ref="A1:O15"/>
  <sheetViews>
    <sheetView workbookViewId="0">
      <selection activeCell="O11" sqref="O11"/>
    </sheetView>
  </sheetViews>
  <sheetFormatPr defaultColWidth="8.88671875" defaultRowHeight="14.4" x14ac:dyDescent="0.3"/>
  <cols>
    <col min="1" max="1" width="10.6640625" bestFit="1" customWidth="1"/>
    <col min="2" max="2" width="25.6640625" bestFit="1" customWidth="1"/>
    <col min="3" max="3" width="12.6640625" bestFit="1" customWidth="1"/>
    <col min="4" max="4" width="12.33203125" customWidth="1"/>
    <col min="5" max="6" width="12.44140625" customWidth="1"/>
    <col min="7" max="9" width="9.88671875" customWidth="1"/>
    <col min="10" max="12" width="10.88671875" bestFit="1" customWidth="1"/>
    <col min="13" max="14" width="17.44140625" bestFit="1" customWidth="1"/>
    <col min="15" max="15" width="18" bestFit="1" customWidth="1"/>
  </cols>
  <sheetData>
    <row r="1" spans="1:15" x14ac:dyDescent="0.3">
      <c r="C1" s="50" t="s">
        <v>17</v>
      </c>
      <c r="D1" s="50"/>
      <c r="E1" s="50"/>
      <c r="F1" s="51"/>
      <c r="G1" s="47" t="s">
        <v>107</v>
      </c>
      <c r="H1" s="47"/>
      <c r="I1" s="47"/>
      <c r="J1" s="48" t="s">
        <v>93</v>
      </c>
      <c r="K1" s="48"/>
      <c r="L1" s="48"/>
      <c r="M1" s="49" t="s">
        <v>94</v>
      </c>
      <c r="N1" s="49"/>
      <c r="O1" s="49"/>
    </row>
    <row r="2" spans="1:15" ht="57.6" x14ac:dyDescent="0.3">
      <c r="A2" s="5" t="s">
        <v>9</v>
      </c>
      <c r="B2" s="18" t="s">
        <v>80</v>
      </c>
      <c r="C2" s="10" t="s">
        <v>103</v>
      </c>
      <c r="D2" s="10" t="s">
        <v>104</v>
      </c>
      <c r="E2" s="10" t="s">
        <v>105</v>
      </c>
      <c r="F2" s="10" t="s">
        <v>106</v>
      </c>
      <c r="G2" s="22" t="s">
        <v>90</v>
      </c>
      <c r="H2" s="22" t="s">
        <v>91</v>
      </c>
      <c r="I2" s="22" t="s">
        <v>92</v>
      </c>
      <c r="J2" s="20" t="s">
        <v>96</v>
      </c>
      <c r="K2" s="20" t="s">
        <v>97</v>
      </c>
      <c r="L2" s="20" t="s">
        <v>98</v>
      </c>
      <c r="M2" s="15" t="s">
        <v>99</v>
      </c>
      <c r="N2" s="15" t="s">
        <v>100</v>
      </c>
      <c r="O2" s="15" t="s">
        <v>101</v>
      </c>
    </row>
    <row r="3" spans="1:15" x14ac:dyDescent="0.3">
      <c r="A3" s="3" t="s">
        <v>84</v>
      </c>
      <c r="B3" s="19" t="s">
        <v>88</v>
      </c>
      <c r="C3" s="3">
        <f>B9/((B10+B11)*LN(9))</f>
        <v>4.812131378100546E-8</v>
      </c>
      <c r="D3" s="3">
        <v>1</v>
      </c>
      <c r="E3" s="3">
        <f>-B10/(B10+B11)</f>
        <v>-0.66666666666666663</v>
      </c>
      <c r="F3" s="3">
        <f>-B11/(B10+B11)</f>
        <v>-0.33333333333333331</v>
      </c>
      <c r="G3" s="7">
        <f>'4 - Incertezza misure tempo'!P3</f>
        <v>2.0244155107187894E-2</v>
      </c>
      <c r="H3" s="7">
        <f>'2 - Incertezza misure R e C'!K3</f>
        <v>1.50391526955125E-3</v>
      </c>
      <c r="I3" s="7">
        <f>H3</f>
        <v>1.50391526955125E-3</v>
      </c>
      <c r="J3" s="21">
        <f>ABS(D3)*G3</f>
        <v>2.0244155107187894E-2</v>
      </c>
      <c r="K3" s="21">
        <f t="shared" ref="K3:L3" si="0">ABS(E3)*H3</f>
        <v>1.0026101797008333E-3</v>
      </c>
      <c r="L3" s="21">
        <f t="shared" si="0"/>
        <v>5.0130508985041667E-4</v>
      </c>
      <c r="M3" s="17">
        <f>J3+K3+L3</f>
        <v>2.1748070376739145E-2</v>
      </c>
      <c r="N3" s="17">
        <f>M3*100</f>
        <v>2.1748070376739146</v>
      </c>
      <c r="O3" s="17">
        <f>M3*ABS(C3)</f>
        <v>1.046545718730454E-9</v>
      </c>
    </row>
    <row r="4" spans="1:15" x14ac:dyDescent="0.3">
      <c r="A4" s="3" t="s">
        <v>12</v>
      </c>
      <c r="B4" s="19" t="s">
        <v>81</v>
      </c>
      <c r="C4" s="3">
        <f>B13/B12</f>
        <v>0.3201595358955765</v>
      </c>
      <c r="D4" s="3">
        <v>-1</v>
      </c>
      <c r="E4" s="3">
        <v>1</v>
      </c>
      <c r="F4" s="23"/>
      <c r="G4" s="7">
        <f>'3 - Incertezza misure tensione'!O3</f>
        <v>3.5801305293691077E-2</v>
      </c>
      <c r="H4" s="7">
        <f>'3 - Incertezza misure tensione'!O4</f>
        <v>3.9060022650056626E-2</v>
      </c>
      <c r="I4" s="7">
        <v>0</v>
      </c>
      <c r="J4" s="21">
        <f t="shared" ref="J4:J7" si="1">ABS(D4)*G4</f>
        <v>3.5801305293691077E-2</v>
      </c>
      <c r="K4" s="21">
        <f t="shared" ref="K4:K7" si="2">ABS(E4)*H4</f>
        <v>3.9060022650056626E-2</v>
      </c>
      <c r="L4" s="21">
        <f t="shared" ref="L4:L7" si="3">ABS(F4)*I4</f>
        <v>0</v>
      </c>
      <c r="M4" s="17">
        <f t="shared" ref="M4:M7" si="4">J4+K4+L4</f>
        <v>7.4861327943747696E-2</v>
      </c>
      <c r="N4" s="17">
        <f t="shared" ref="N4:N7" si="5">M4*100</f>
        <v>7.48613279437477</v>
      </c>
      <c r="O4" s="17">
        <f t="shared" ref="O4:O7" si="6">M4*ABS(C4)</f>
        <v>2.3967568010996816E-2</v>
      </c>
    </row>
    <row r="5" spans="1:15" x14ac:dyDescent="0.3">
      <c r="A5" s="3" t="s">
        <v>85</v>
      </c>
      <c r="B5" s="19" t="s">
        <v>82</v>
      </c>
      <c r="C5" s="3">
        <f>1/(2*PI()*B10*B14)*SQRT(1-C4^2)/C4</f>
        <v>4.7094523117972469E-8</v>
      </c>
      <c r="D5" s="3">
        <f>1/(C4^2-1)</f>
        <v>-1.1142087704842991</v>
      </c>
      <c r="E5" s="3">
        <v>-1</v>
      </c>
      <c r="F5" s="3">
        <v>-1</v>
      </c>
      <c r="G5" s="7">
        <f>M4</f>
        <v>7.4861327943747696E-2</v>
      </c>
      <c r="H5" s="7">
        <f>'5 - Incertezza frequenza'!I3</f>
        <v>1.00000000015E-6</v>
      </c>
      <c r="I5" s="7">
        <f>'2 - Incertezza misure R e C'!K3</f>
        <v>1.50391526955125E-3</v>
      </c>
      <c r="J5" s="21">
        <f t="shared" si="1"/>
        <v>8.3411148165025026E-2</v>
      </c>
      <c r="K5" s="21">
        <f t="shared" si="2"/>
        <v>1.00000000015E-6</v>
      </c>
      <c r="L5" s="21">
        <f t="shared" si="3"/>
        <v>1.50391526955125E-3</v>
      </c>
      <c r="M5" s="17">
        <f t="shared" si="4"/>
        <v>8.491606343457643E-2</v>
      </c>
      <c r="N5" s="17">
        <f t="shared" si="5"/>
        <v>8.4916063434576436</v>
      </c>
      <c r="O5" s="17">
        <f t="shared" si="6"/>
        <v>3.999081512506876E-9</v>
      </c>
    </row>
    <row r="6" spans="1:15" x14ac:dyDescent="0.3">
      <c r="A6" s="3" t="s">
        <v>86</v>
      </c>
      <c r="B6" s="19" t="s">
        <v>102</v>
      </c>
      <c r="C6" s="3">
        <f>2*PI()*B15*B14</f>
        <v>-1.2252211349000193</v>
      </c>
      <c r="D6" s="3">
        <v>1</v>
      </c>
      <c r="E6" s="3">
        <v>1</v>
      </c>
      <c r="F6" s="23"/>
      <c r="G6" s="7">
        <f>'4 - Incertezza misure tempo'!P5</f>
        <v>4.7729487179487195E-3</v>
      </c>
      <c r="H6" s="7">
        <f>'5 - Incertezza frequenza'!I3</f>
        <v>1.00000000015E-6</v>
      </c>
      <c r="I6" s="7">
        <v>0</v>
      </c>
      <c r="J6" s="21">
        <f t="shared" si="1"/>
        <v>4.7729487179487195E-3</v>
      </c>
      <c r="K6" s="21">
        <f t="shared" si="2"/>
        <v>1.00000000015E-6</v>
      </c>
      <c r="L6" s="21">
        <f t="shared" si="3"/>
        <v>0</v>
      </c>
      <c r="M6" s="17">
        <f t="shared" si="4"/>
        <v>4.7739487179488697E-3</v>
      </c>
      <c r="N6" s="17">
        <f t="shared" si="5"/>
        <v>0.47739487179488699</v>
      </c>
      <c r="O6" s="17">
        <f t="shared" si="6"/>
        <v>5.8491428661598061E-3</v>
      </c>
    </row>
    <row r="7" spans="1:15" x14ac:dyDescent="0.3">
      <c r="A7" s="3" t="s">
        <v>87</v>
      </c>
      <c r="B7" s="19" t="s">
        <v>83</v>
      </c>
      <c r="C7" s="3">
        <f>1/(2*PI()*B10*B14)*TAN(-2*PI()*B15*B14)</f>
        <v>4.4206986076649622E-8</v>
      </c>
      <c r="D7" s="52">
        <f>4*PI()*B15*B14/SIN(4*PI()*B15*B14)</f>
        <v>3.8442893728649081</v>
      </c>
      <c r="E7" s="52">
        <f>D7-1</f>
        <v>2.8442893728649081</v>
      </c>
      <c r="F7" s="3">
        <v>-1</v>
      </c>
      <c r="G7" s="7">
        <f>'4 - Incertezza misure tempo'!P5</f>
        <v>4.7729487179487195E-3</v>
      </c>
      <c r="H7" s="7">
        <f>'5 - Incertezza frequenza'!I3</f>
        <v>1.00000000015E-6</v>
      </c>
      <c r="I7" s="7">
        <f>'2 - Incertezza misure R e C'!K3</f>
        <v>1.50391526955125E-3</v>
      </c>
      <c r="J7" s="21">
        <f t="shared" si="1"/>
        <v>1.8348596033639451E-2</v>
      </c>
      <c r="K7" s="21">
        <f t="shared" si="2"/>
        <v>2.8442893732915516E-6</v>
      </c>
      <c r="L7" s="21">
        <f t="shared" si="3"/>
        <v>1.50391526955125E-3</v>
      </c>
      <c r="M7" s="17">
        <f t="shared" si="4"/>
        <v>1.9855355592563993E-2</v>
      </c>
      <c r="N7" s="17">
        <f t="shared" si="5"/>
        <v>1.9855355592563992</v>
      </c>
      <c r="O7" s="17">
        <f t="shared" si="6"/>
        <v>8.7774542822740365E-10</v>
      </c>
    </row>
    <row r="9" spans="1:15" x14ac:dyDescent="0.3">
      <c r="A9" s="3" t="s">
        <v>6</v>
      </c>
      <c r="B9" s="3">
        <f>'1 - Misure in laboratorio'!C5</f>
        <v>1.5859999999999997E-5</v>
      </c>
    </row>
    <row r="10" spans="1:15" x14ac:dyDescent="0.3">
      <c r="A10" s="3" t="s">
        <v>10</v>
      </c>
      <c r="B10" s="3">
        <f>'1 - Misure in laboratorio'!B22</f>
        <v>100</v>
      </c>
    </row>
    <row r="11" spans="1:15" x14ac:dyDescent="0.3">
      <c r="A11" s="3" t="s">
        <v>111</v>
      </c>
      <c r="B11" s="3">
        <f>'1 - Misure in laboratorio'!B21</f>
        <v>50</v>
      </c>
    </row>
    <row r="12" spans="1:15" x14ac:dyDescent="0.3">
      <c r="A12" s="3" t="s">
        <v>2</v>
      </c>
      <c r="B12" s="3">
        <f>'1 - Misure in laboratorio'!C7</f>
        <v>1.379</v>
      </c>
    </row>
    <row r="13" spans="1:15" x14ac:dyDescent="0.3">
      <c r="A13" s="3" t="s">
        <v>4</v>
      </c>
      <c r="B13" s="3">
        <f>'1 - Misure in laboratorio'!C8</f>
        <v>0.4415</v>
      </c>
    </row>
    <row r="14" spans="1:15" x14ac:dyDescent="0.3">
      <c r="A14" s="3" t="s">
        <v>23</v>
      </c>
      <c r="B14" s="3">
        <f>'1 - Misure in laboratorio'!C6</f>
        <v>100000</v>
      </c>
    </row>
    <row r="15" spans="1:15" x14ac:dyDescent="0.3">
      <c r="A15" s="3" t="s">
        <v>95</v>
      </c>
      <c r="B15" s="3">
        <f>'1 - Misure in laboratorio'!C10</f>
        <v>-1.95E-6</v>
      </c>
    </row>
  </sheetData>
  <mergeCells count="4">
    <mergeCell ref="G1:I1"/>
    <mergeCell ref="J1:L1"/>
    <mergeCell ref="M1:O1"/>
    <mergeCell ref="C1:F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05cce5-bd2b-4e7d-83c7-59f5a7708ba9">
      <Terms xmlns="http://schemas.microsoft.com/office/infopath/2007/PartnerControls"/>
    </lcf76f155ced4ddcb4097134ff3c332f>
    <TaxCatchAll xmlns="3a9b037f-e136-496d-90f1-d8ed146c378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F59BA9692CEB4A9C2D5419F59BB33E" ma:contentTypeVersion="12" ma:contentTypeDescription="Creare un nuovo documento." ma:contentTypeScope="" ma:versionID="4a850d4671dad9dffeadc7343e84afa7">
  <xsd:schema xmlns:xsd="http://www.w3.org/2001/XMLSchema" xmlns:xs="http://www.w3.org/2001/XMLSchema" xmlns:p="http://schemas.microsoft.com/office/2006/metadata/properties" xmlns:ns2="bf05cce5-bd2b-4e7d-83c7-59f5a7708ba9" xmlns:ns3="3a9b037f-e136-496d-90f1-d8ed146c3785" targetNamespace="http://schemas.microsoft.com/office/2006/metadata/properties" ma:root="true" ma:fieldsID="ca5fc300471406ab9bf386ec5a0d4042" ns2:_="" ns3:_="">
    <xsd:import namespace="bf05cce5-bd2b-4e7d-83c7-59f5a7708ba9"/>
    <xsd:import namespace="3a9b037f-e136-496d-90f1-d8ed146c37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05cce5-bd2b-4e7d-83c7-59f5a7708b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c5ef9682-6c55-4541-b5a3-cf23735ee8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9b037f-e136-496d-90f1-d8ed146c378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fbb91-ff43-47c5-b63b-b2a775871f86}" ma:internalName="TaxCatchAll" ma:showField="CatchAllData" ma:web="3a9b037f-e136-496d-90f1-d8ed146c37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02A9C6-D367-47BF-B493-EE8E933A1B9A}">
  <ds:schemaRefs>
    <ds:schemaRef ds:uri="http://purl.org/dc/elements/1.1/"/>
    <ds:schemaRef ds:uri="http://schemas.openxmlformats.org/package/2006/metadata/core-properties"/>
    <ds:schemaRef ds:uri="http://purl.org/dc/dcmitype/"/>
    <ds:schemaRef ds:uri="775df8d1-a6bf-4e8a-ab0c-17d613d5bfed"/>
    <ds:schemaRef ds:uri="http://schemas.microsoft.com/office/2006/documentManagement/types"/>
    <ds:schemaRef ds:uri="http://purl.org/dc/terms/"/>
    <ds:schemaRef ds:uri="http://schemas.microsoft.com/office/infopath/2007/PartnerControls"/>
    <ds:schemaRef ds:uri="85b9c996-13bb-46c2-9467-5cd60b5cb449"/>
    <ds:schemaRef ds:uri="http://schemas.microsoft.com/office/2006/metadata/properties"/>
    <ds:schemaRef ds:uri="http://www.w3.org/XML/1998/namespace"/>
    <ds:schemaRef ds:uri="bf05cce5-bd2b-4e7d-83c7-59f5a7708ba9"/>
    <ds:schemaRef ds:uri="3a9b037f-e136-496d-90f1-d8ed146c3785"/>
  </ds:schemaRefs>
</ds:datastoreItem>
</file>

<file path=customXml/itemProps2.xml><?xml version="1.0" encoding="utf-8"?>
<ds:datastoreItem xmlns:ds="http://schemas.openxmlformats.org/officeDocument/2006/customXml" ds:itemID="{91DFA7B3-D276-44C7-AE07-F2FEE78824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7011ED-3159-4088-956C-F0C2E205D6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05cce5-bd2b-4e7d-83c7-59f5a7708ba9"/>
    <ds:schemaRef ds:uri="3a9b037f-e136-496d-90f1-d8ed146c37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1 - Misure in laboratorio</vt:lpstr>
      <vt:lpstr>2 - Incertezza misure R e C</vt:lpstr>
      <vt:lpstr>3 - Incertezza misure tensione</vt:lpstr>
      <vt:lpstr>4 - Incertezza misure tempo</vt:lpstr>
      <vt:lpstr>5 - Incertezza frequenza</vt:lpstr>
      <vt:lpstr>6 - Incertezza misure indirette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Lanzolla</dc:creator>
  <cp:keywords/>
  <dc:description/>
  <cp:lastModifiedBy>DI SPIRITO DANIELE</cp:lastModifiedBy>
  <cp:revision/>
  <dcterms:created xsi:type="dcterms:W3CDTF">2023-02-22T10:09:13Z</dcterms:created>
  <dcterms:modified xsi:type="dcterms:W3CDTF">2025-12-13T17:22:50Z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0x01010076F59BA9692CEB4A9C2D5419F59BB33E</vt:lpwstr>
  </property>
  <property fmtid="{D5CDD505-2E9C-101B-9397-08002B2CF9AE}" pid="3" name="MediaServiceImageTags">
    <vt:lpwstr/>
  </property>
</Properties>
</file>